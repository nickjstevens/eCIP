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activeX/activeX3.bin" ContentType="application/vnd.ms-office.activeX"/>
  <Override PartName="/xl/activeX/activeX4.bin" ContentType="application/vnd.ms-office.activeX"/>
  <Default Extension="png" ContentType="image/png"/>
  <Override PartName="/xl/activeX/activeX9.xml" ContentType="application/vnd.ms-office.activeX+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activeX/activeX7.xml" ContentType="application/vnd.ms-office.activeX+xml"/>
  <Override PartName="/xl/activeX/activeX8.xml" ContentType="application/vnd.ms-office.activeX+xml"/>
  <Override PartName="/xl/worksheets/sheet6.xml" ContentType="application/vnd.openxmlformats-officedocument.spreadsheetml.worksheet+xml"/>
  <Override PartName="/xl/activeX/activeX5.xml" ContentType="application/vnd.ms-office.activeX+xml"/>
  <Override PartName="/xl/activeX/activeX6.xml" ContentType="application/vnd.ms-office.activeX+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activeX/activeX10.bin" ContentType="application/vnd.ms-office.activeX"/>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activeX/activeX9.bin" ContentType="application/vnd.ms-office.activeX"/>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5.bin" ContentType="application/vnd.ms-office.activeX"/>
  <Override PartName="/xl/activeX/activeX6.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hidePivotFieldList="1" defaultThemeVersion="124226"/>
  <bookViews>
    <workbookView xWindow="0" yWindow="270" windowWidth="11400" windowHeight="5970" tabRatio="929"/>
  </bookViews>
  <sheets>
    <sheet name="Data" sheetId="2" r:id="rId1"/>
    <sheet name="RESULTS" sheetId="14" r:id="rId2"/>
    <sheet name="Database" sheetId="13" r:id="rId3"/>
    <sheet name="COD Equivalents" sheetId="17" r:id="rId4"/>
    <sheet name="Flow Chk Calc" sheetId="23" r:id="rId5"/>
    <sheet name="Drop Down Lists" sheetId="20" state="hidden" r:id="rId6"/>
  </sheets>
  <definedNames>
    <definedName name="Action">'Drop Down Lists'!$B$3:$B$9</definedName>
    <definedName name="Areas">'Drop Down Lists'!$A$3:$A$20</definedName>
    <definedName name="Department">'Drop Down Lists'!$A$3:$A$8</definedName>
    <definedName name="FNZ">#REF!</definedName>
    <definedName name="fred">Database!#REF!</definedName>
    <definedName name="GRAPH">#REF!</definedName>
    <definedName name="PRINT">#REF!</definedName>
    <definedName name="_xlnm.Print_Area" localSheetId="0">Data!$A$1:$N$29</definedName>
    <definedName name="Status">'Drop Down Lists'!#REF!</definedName>
  </definedNames>
  <calcPr calcId="125725"/>
</workbook>
</file>

<file path=xl/calcChain.xml><?xml version="1.0" encoding="utf-8"?>
<calcChain xmlns="http://schemas.openxmlformats.org/spreadsheetml/2006/main">
  <c r="E6" i="14"/>
  <c r="AA16" i="2"/>
  <c r="AA17"/>
  <c r="AA18"/>
  <c r="AA19"/>
  <c r="AA20"/>
  <c r="AA21"/>
  <c r="AA22"/>
  <c r="AA23"/>
  <c r="AA24"/>
  <c r="AA25"/>
  <c r="AA26"/>
  <c r="AA27"/>
  <c r="AA28"/>
  <c r="AA29"/>
  <c r="AA30"/>
  <c r="AA31"/>
  <c r="AA32"/>
  <c r="AA33"/>
  <c r="AA34"/>
  <c r="AA35"/>
  <c r="AA36"/>
  <c r="AA37"/>
  <c r="AA38"/>
  <c r="AA39"/>
  <c r="AA40"/>
  <c r="AA41"/>
  <c r="AA42"/>
  <c r="AA43"/>
  <c r="E5" i="23"/>
  <c r="E6"/>
  <c r="E7"/>
  <c r="E11"/>
  <c r="E17"/>
  <c r="E18"/>
  <c r="E22"/>
  <c r="E7" i="14"/>
  <c r="E5"/>
  <c r="E4"/>
  <c r="C44"/>
  <c r="AB8" i="2"/>
  <c r="AB9" s="1"/>
  <c r="AC9" s="1"/>
  <c r="G16" i="14"/>
  <c r="G15"/>
  <c r="D45" i="2"/>
  <c r="H19" s="1"/>
  <c r="G11" i="14" s="1"/>
  <c r="B45" i="2"/>
  <c r="H18" s="1"/>
  <c r="G10" i="14" s="1"/>
  <c r="B2"/>
  <c r="I23" i="2"/>
  <c r="AA44"/>
  <c r="A9"/>
  <c r="A10"/>
  <c r="A11"/>
  <c r="A12"/>
  <c r="A13"/>
  <c r="A14"/>
  <c r="A15"/>
  <c r="A16"/>
  <c r="A17"/>
  <c r="A18"/>
  <c r="A19"/>
  <c r="A20"/>
  <c r="A21"/>
  <c r="A22"/>
  <c r="A23"/>
  <c r="A24"/>
  <c r="A25"/>
  <c r="A26"/>
  <c r="A27"/>
  <c r="A28"/>
  <c r="A29"/>
  <c r="A30"/>
  <c r="A31"/>
  <c r="A32"/>
  <c r="A33"/>
  <c r="A34"/>
  <c r="A35"/>
  <c r="A36"/>
  <c r="A37"/>
  <c r="A38"/>
  <c r="A39"/>
  <c r="A40"/>
  <c r="A41"/>
  <c r="A42"/>
  <c r="A43"/>
  <c r="A44"/>
  <c r="C45"/>
  <c r="AA15"/>
  <c r="AA14"/>
  <c r="AA13"/>
  <c r="AA12"/>
  <c r="AA11"/>
  <c r="AA10"/>
  <c r="AA9"/>
  <c r="AA8"/>
  <c r="G6" i="23"/>
  <c r="G17"/>
  <c r="AC8" i="2" l="1"/>
  <c r="AD8" s="1"/>
  <c r="AD9" s="1"/>
  <c r="AB10"/>
  <c r="AB11" l="1"/>
  <c r="AC10"/>
  <c r="AB12" l="1"/>
  <c r="AC11"/>
  <c r="AD10"/>
  <c r="AB13" l="1"/>
  <c r="AC12"/>
  <c r="AD11"/>
  <c r="AD12" l="1"/>
  <c r="AC13"/>
  <c r="AB14"/>
  <c r="AD13" l="1"/>
  <c r="AC14"/>
  <c r="AB15"/>
  <c r="AB16" s="1"/>
  <c r="AC16" l="1"/>
  <c r="AB17"/>
  <c r="AD14"/>
  <c r="AC15"/>
  <c r="AB18" l="1"/>
  <c r="AC17"/>
  <c r="AD15"/>
  <c r="AD16" s="1"/>
  <c r="AB19" l="1"/>
  <c r="AC18"/>
  <c r="AD17"/>
  <c r="AD18" l="1"/>
  <c r="AB20"/>
  <c r="AC19"/>
  <c r="AD19" l="1"/>
  <c r="AB21"/>
  <c r="AC20"/>
  <c r="AD20" l="1"/>
  <c r="AB22"/>
  <c r="AC21"/>
  <c r="AD21" l="1"/>
  <c r="AC22"/>
  <c r="AB23"/>
  <c r="AD22" l="1"/>
  <c r="AB24"/>
  <c r="AC23"/>
  <c r="AD23" l="1"/>
  <c r="AC24"/>
  <c r="AB25"/>
  <c r="AD24" l="1"/>
  <c r="AB26"/>
  <c r="AC25"/>
  <c r="AD25" l="1"/>
  <c r="AB27"/>
  <c r="AC26"/>
  <c r="AD26" l="1"/>
  <c r="AB28"/>
  <c r="AC27"/>
  <c r="AD27" l="1"/>
  <c r="AC28"/>
  <c r="AB29"/>
  <c r="AD28" l="1"/>
  <c r="AB30"/>
  <c r="AC29"/>
  <c r="AD29" l="1"/>
  <c r="AB31"/>
  <c r="AC30"/>
  <c r="AD30" l="1"/>
  <c r="AB32"/>
  <c r="AC31"/>
  <c r="AD31" l="1"/>
  <c r="AB33"/>
  <c r="AC32"/>
  <c r="AD32" l="1"/>
  <c r="AB34"/>
  <c r="AC33"/>
  <c r="AD33" l="1"/>
  <c r="AB35"/>
  <c r="AC34"/>
  <c r="AD34" l="1"/>
  <c r="AB36"/>
  <c r="AC35"/>
  <c r="AD35" l="1"/>
  <c r="AB37"/>
  <c r="AC36"/>
  <c r="AD36" l="1"/>
  <c r="AC37"/>
  <c r="AB38"/>
  <c r="AD37" l="1"/>
  <c r="AB39"/>
  <c r="AC38"/>
  <c r="AD38" l="1"/>
  <c r="AC39"/>
  <c r="AB40"/>
  <c r="AD39" l="1"/>
  <c r="AB41"/>
  <c r="AC40"/>
  <c r="AD40" l="1"/>
  <c r="AB42"/>
  <c r="AC41"/>
  <c r="AD41" l="1"/>
  <c r="AB43"/>
  <c r="AC42"/>
  <c r="AD42" l="1"/>
  <c r="AC43"/>
  <c r="AB44"/>
  <c r="AC44" s="1"/>
  <c r="AD43" l="1"/>
  <c r="AD44" s="1"/>
  <c r="AD45" s="1"/>
  <c r="AC45"/>
  <c r="H21" s="1"/>
  <c r="H22" s="1"/>
  <c r="H23" s="1"/>
  <c r="G19" i="14" s="1"/>
  <c r="AB45" i="2"/>
  <c r="H20" s="1"/>
  <c r="G12" i="14" s="1"/>
  <c r="G13" l="1"/>
  <c r="I22" i="2"/>
  <c r="G18" i="14"/>
</calcChain>
</file>

<file path=xl/sharedStrings.xml><?xml version="1.0" encoding="utf-8"?>
<sst xmlns="http://schemas.openxmlformats.org/spreadsheetml/2006/main" count="202" uniqueCount="144">
  <si>
    <t>Comments:</t>
  </si>
  <si>
    <t>Litres/second</t>
  </si>
  <si>
    <t>KgCOD</t>
  </si>
  <si>
    <t>TITLE OF CLEAN</t>
  </si>
  <si>
    <t xml:space="preserve">DATE MEASURED </t>
  </si>
  <si>
    <t>FLOW</t>
  </si>
  <si>
    <t>%</t>
  </si>
  <si>
    <t>TOTAL</t>
  </si>
  <si>
    <t>UNIT</t>
  </si>
  <si>
    <t>CUM</t>
  </si>
  <si>
    <t>COD</t>
  </si>
  <si>
    <t>Product</t>
  </si>
  <si>
    <t>LOAD</t>
  </si>
  <si>
    <t>secs</t>
  </si>
  <si>
    <t>l/sec</t>
  </si>
  <si>
    <t>litres</t>
  </si>
  <si>
    <t>kgCOD</t>
  </si>
  <si>
    <t>MAX</t>
  </si>
  <si>
    <t>AVG</t>
  </si>
  <si>
    <t>SUM</t>
  </si>
  <si>
    <t>Sample</t>
  </si>
  <si>
    <t>Number</t>
  </si>
  <si>
    <t>Time</t>
  </si>
  <si>
    <t>Flow</t>
  </si>
  <si>
    <t>Rate</t>
  </si>
  <si>
    <t>Title of Clean:</t>
  </si>
  <si>
    <t>Date Measured</t>
  </si>
  <si>
    <t>Time Measured</t>
  </si>
  <si>
    <t>By Whom</t>
  </si>
  <si>
    <t>mg/l</t>
  </si>
  <si>
    <t>Product Equivalent</t>
  </si>
  <si>
    <t>Unit Cost</t>
  </si>
  <si>
    <t>Factory:</t>
  </si>
  <si>
    <t xml:space="preserve">       -</t>
  </si>
  <si>
    <t>Litres</t>
  </si>
  <si>
    <t>Total Duration:</t>
  </si>
  <si>
    <t>Average Flow Rate:</t>
  </si>
  <si>
    <t>Total Effluent Volume:</t>
  </si>
  <si>
    <t>Total Effluent Loading:</t>
  </si>
  <si>
    <t>Total Product Loss:</t>
  </si>
  <si>
    <t>Cost of Product Loss:</t>
  </si>
  <si>
    <t>£/clean</t>
  </si>
  <si>
    <t>Seconds</t>
  </si>
  <si>
    <t>Data Storage Page</t>
  </si>
  <si>
    <t>Department</t>
  </si>
  <si>
    <t>Clean
Number</t>
  </si>
  <si>
    <t>Flow Rate</t>
  </si>
  <si>
    <t>MEASURED BY</t>
  </si>
  <si>
    <t xml:space="preserve">  EFFLUENT RESULTS :</t>
  </si>
  <si>
    <t>Total time of sequence</t>
  </si>
  <si>
    <t>Average flow rate</t>
  </si>
  <si>
    <t>litres/sec</t>
  </si>
  <si>
    <t>Total effluent volume</t>
  </si>
  <si>
    <t xml:space="preserve">Effluent Loading </t>
  </si>
  <si>
    <t>kg COD</t>
  </si>
  <si>
    <t xml:space="preserve">  PRODUCT DETAILS :</t>
  </si>
  <si>
    <t>Unit cost of product</t>
  </si>
  <si>
    <t>pence/litre</t>
  </si>
  <si>
    <t xml:space="preserve">  PRODUCT LOSS :</t>
  </si>
  <si>
    <t>Sterling</t>
  </si>
  <si>
    <t>Product loss</t>
  </si>
  <si>
    <t>Whole Milk</t>
  </si>
  <si>
    <t>Whey Processing</t>
  </si>
  <si>
    <t>Cheese Making</t>
  </si>
  <si>
    <t>Milk Intake</t>
  </si>
  <si>
    <t>Skim Milk</t>
  </si>
  <si>
    <t>Milk Processing</t>
  </si>
  <si>
    <t>Comments</t>
  </si>
  <si>
    <t>Evaporator/Dryer</t>
  </si>
  <si>
    <t>CE</t>
  </si>
  <si>
    <t>CAP</t>
  </si>
  <si>
    <t>Fitz</t>
  </si>
  <si>
    <t>MSA</t>
  </si>
  <si>
    <t>Actions</t>
  </si>
  <si>
    <t>Other</t>
  </si>
  <si>
    <t>Semi-Skim Milk</t>
  </si>
  <si>
    <t>Jersey Milk</t>
  </si>
  <si>
    <t>Jersey Skim Milk</t>
  </si>
  <si>
    <t>Chocolate Milk</t>
  </si>
  <si>
    <t>Strawberry Milk</t>
  </si>
  <si>
    <t>Banana Milk</t>
  </si>
  <si>
    <t>Cream 50% BF</t>
  </si>
  <si>
    <t>Cream 42% BF</t>
  </si>
  <si>
    <t>Cream 40% BF</t>
  </si>
  <si>
    <t>Cream 16% BF</t>
  </si>
  <si>
    <t>Cream 12% BF</t>
  </si>
  <si>
    <t>Quarg</t>
  </si>
  <si>
    <t>Skim Conc (53% TS)</t>
  </si>
  <si>
    <t>Raw Whey</t>
  </si>
  <si>
    <t>Separate Whey</t>
  </si>
  <si>
    <t>Press Whey</t>
  </si>
  <si>
    <t>Hastener Whey</t>
  </si>
  <si>
    <t>Whey Concentrate 65% TS</t>
  </si>
  <si>
    <t>Whey Concentrate 60% TS</t>
  </si>
  <si>
    <t>Whey Concentrate 50% TS</t>
  </si>
  <si>
    <t>Whey Concentrate 42% TS</t>
  </si>
  <si>
    <t>COD mg/l</t>
  </si>
  <si>
    <t>Milk Separator Desludge</t>
  </si>
  <si>
    <t>Buttermilk Separator Desludge</t>
  </si>
  <si>
    <t>Whey Separator Desludge</t>
  </si>
  <si>
    <t>Cheese Curd (Calc.)</t>
  </si>
  <si>
    <t>Fruit Yoghurt</t>
  </si>
  <si>
    <t>Yoghurt Base</t>
  </si>
  <si>
    <t>Dairy Ice Cream</t>
  </si>
  <si>
    <t>Fresh Laban (Whole)</t>
  </si>
  <si>
    <t>Fresh Laban (3% Fat)</t>
  </si>
  <si>
    <t>Buttermilk</t>
  </si>
  <si>
    <t>Butter &amp; Spreads</t>
  </si>
  <si>
    <t>Granulated Sugar</t>
  </si>
  <si>
    <t>Sugar Solution (2%)</t>
  </si>
  <si>
    <t>Beer (Bitter)</t>
  </si>
  <si>
    <t>Ale</t>
  </si>
  <si>
    <t>Lager</t>
  </si>
  <si>
    <t>Irish Cream Liquor</t>
  </si>
  <si>
    <t>Orange Juice</t>
  </si>
  <si>
    <t>Apple Juice</t>
  </si>
  <si>
    <t>Vinegar</t>
  </si>
  <si>
    <t>Chill Sauce</t>
  </si>
  <si>
    <t>Jam</t>
  </si>
  <si>
    <t>Syrup</t>
  </si>
  <si>
    <t>Whiskey (Blended)</t>
  </si>
  <si>
    <t>COD Equivalents (Product)</t>
  </si>
  <si>
    <t>Pipe Details (Enter Pipe Circumference)</t>
  </si>
  <si>
    <t>Pipe Circumference (mm)</t>
  </si>
  <si>
    <t>Pipe Circumference (m)</t>
  </si>
  <si>
    <t>Pipe Radius (m)</t>
  </si>
  <si>
    <t>inch</t>
  </si>
  <si>
    <t>Velocity Measured</t>
  </si>
  <si>
    <t>Flow Rate (Litres/Sec)</t>
  </si>
  <si>
    <t>Pipe Details (Enter Pipe Radius)</t>
  </si>
  <si>
    <t>Pipe Radius (mm)</t>
  </si>
  <si>
    <r>
      <t>Pipe Cross Sec Area (m</t>
    </r>
    <r>
      <rPr>
        <vertAlign val="superscript"/>
        <sz val="10"/>
        <rFont val="Arial"/>
        <family val="2"/>
      </rPr>
      <t>2</t>
    </r>
    <r>
      <rPr>
        <sz val="10"/>
        <rFont val="Arial"/>
      </rPr>
      <t>)</t>
    </r>
  </si>
  <si>
    <r>
      <rPr>
        <sz val="9"/>
        <rFont val="Calibri"/>
        <family val="2"/>
        <scheme val="minor"/>
      </rPr>
      <t xml:space="preserve">© </t>
    </r>
    <r>
      <rPr>
        <i/>
        <sz val="9"/>
        <rFont val="Calibri"/>
        <family val="2"/>
        <scheme val="minor"/>
      </rPr>
      <t>Nigel Stevens</t>
    </r>
  </si>
  <si>
    <t>Milk Silo</t>
  </si>
  <si>
    <t>NS</t>
  </si>
  <si>
    <t>eCIP is a simple spreadsheet programme to take the hard work out of calculating losses arising from CIP cleaning operations.   
Flows from CIP pre-rinses are sampled at appropriate intervals throughout the pre rinse sequence, and measured for COD.  The flow rate of the discharge is also required and can be obtained using various techniques including, flow meters, pump rates, bucket and stop watch etc.
eCIP will produce a profile of the clean and automatically calculates the effluent loading in kgCOD which is then converted to product loss in litres equivalent together with the financial value.</t>
  </si>
  <si>
    <t xml:space="preserve">Using the INPUT button, enter the results of a clean into the "Time", "COD" and "Flow Rate" table.  The first sample should be at time "zero".
Enter all other details about the clean including the Product Equivalent, which is the strength of the neat product (eg: Whole Milk = 220,000 mg/l COD).  If this figure is unknown, a sample should be tested.
A profile of the clean can be seen by clicking the PROFILE tab sheet.  Extra data can be added at this time (through estimations) if the profile does not appear representative of the actual clean.
The RESULTS tab sheet will display the effluent and product loss information.  This can be printed by pressing MENU then PRINT. 
The RESET ALL button will delete all data whereas the RESET CLEAN button preserves the "Date Measured" and "By Whom" fields.  </t>
  </si>
  <si>
    <t xml:space="preserve">For improved accuracy, more samples should be taken when the effluent strength is high (ie normlly at the start of the sequence).  It is not necessary to take samples at equal time intervals, just record the seconds from start.
For most cleans, a total of say 10 to 15 samples will be sufficient to provide a representative profile of the clean.
For cleans where the flow rate is intermittent (i.e. stop/start), a zero flow rate should be entered into the data table at the stop time.  Also, it is important to enter zero flow rate at 1 second before the flow recommences otherwise the program will assume there was a gradual increase flow between the stop/start times.    </t>
  </si>
  <si>
    <t>TIME MEASURED</t>
  </si>
  <si>
    <t>-</t>
  </si>
  <si>
    <t>eCIP Version 5.2</t>
  </si>
  <si>
    <t>Toytown Dairies</t>
  </si>
  <si>
    <t>Milk Reception</t>
  </si>
  <si>
    <t>Small product loss with short pre-rinse saving water.  Much improved from earlier clean.</t>
  </si>
</sst>
</file>

<file path=xl/styles.xml><?xml version="1.0" encoding="utf-8"?>
<styleSheet xmlns="http://schemas.openxmlformats.org/spreadsheetml/2006/main">
  <numFmts count="9">
    <numFmt numFmtId="5" formatCode="&quot;£&quot;#,##0;\-&quot;£&quot;#,##0"/>
    <numFmt numFmtId="7" formatCode="&quot;£&quot;#,##0.00;\-&quot;£&quot;#,##0.00"/>
    <numFmt numFmtId="164" formatCode="0.0"/>
    <numFmt numFmtId="165" formatCode="#,##0.0"/>
    <numFmt numFmtId="166" formatCode="0.000"/>
    <numFmt numFmtId="167" formatCode="&quot;£&quot;#,##0.00"/>
    <numFmt numFmtId="168" formatCode="&quot;£&quot;#,##0"/>
    <numFmt numFmtId="169" formatCode="dd\ mmm\ yy\l"/>
    <numFmt numFmtId="170" formatCode="dd\ mmm\ yy"/>
  </numFmts>
  <fonts count="48">
    <font>
      <sz val="12"/>
      <name val="Times New Roman"/>
    </font>
    <font>
      <sz val="18"/>
      <name val="Times New Roman"/>
    </font>
    <font>
      <sz val="8"/>
      <name val="Times New Roman"/>
    </font>
    <font>
      <sz val="10"/>
      <name val="Arial"/>
      <family val="2"/>
    </font>
    <font>
      <sz val="10"/>
      <name val="Arial"/>
    </font>
    <font>
      <b/>
      <sz val="10"/>
      <name val="Arial"/>
      <family val="2"/>
    </font>
    <font>
      <u/>
      <sz val="12"/>
      <name val="Arial"/>
      <family val="2"/>
    </font>
    <font>
      <sz val="10"/>
      <color indexed="12"/>
      <name val="Arial"/>
      <family val="2"/>
    </font>
    <font>
      <sz val="12"/>
      <color indexed="12"/>
      <name val="Times New Roman"/>
    </font>
    <font>
      <sz val="8"/>
      <name val="Arial"/>
    </font>
    <font>
      <b/>
      <u/>
      <sz val="12"/>
      <name val="Arial"/>
      <family val="2"/>
    </font>
    <font>
      <b/>
      <u/>
      <sz val="14"/>
      <name val="Arial"/>
      <family val="2"/>
    </font>
    <font>
      <u/>
      <sz val="12"/>
      <color indexed="12"/>
      <name val="Arial"/>
      <family val="2"/>
    </font>
    <font>
      <b/>
      <u/>
      <sz val="10"/>
      <name val="Arial"/>
      <family val="2"/>
    </font>
    <font>
      <u/>
      <sz val="10"/>
      <name val="Arial"/>
    </font>
    <font>
      <vertAlign val="superscript"/>
      <sz val="10"/>
      <name val="Arial"/>
      <family val="2"/>
    </font>
    <font>
      <sz val="12"/>
      <name val="Times New Roman"/>
    </font>
    <font>
      <sz val="12"/>
      <name val="Calibri"/>
      <family val="2"/>
      <scheme val="minor"/>
    </font>
    <font>
      <u/>
      <sz val="14"/>
      <name val="Calibri"/>
      <family val="2"/>
      <scheme val="minor"/>
    </font>
    <font>
      <sz val="11"/>
      <name val="Calibri"/>
      <family val="2"/>
      <scheme val="minor"/>
    </font>
    <font>
      <b/>
      <sz val="12"/>
      <color indexed="14"/>
      <name val="Calibri"/>
      <family val="2"/>
      <scheme val="minor"/>
    </font>
    <font>
      <sz val="12"/>
      <color indexed="10"/>
      <name val="Calibri"/>
      <family val="2"/>
      <scheme val="minor"/>
    </font>
    <font>
      <i/>
      <sz val="12"/>
      <color indexed="56"/>
      <name val="Calibri"/>
      <family val="2"/>
      <scheme val="minor"/>
    </font>
    <font>
      <i/>
      <sz val="14"/>
      <color indexed="56"/>
      <name val="Calibri"/>
      <family val="2"/>
      <scheme val="minor"/>
    </font>
    <font>
      <sz val="12"/>
      <color rgb="FF92D050"/>
      <name val="Calibri"/>
      <family val="2"/>
      <scheme val="minor"/>
    </font>
    <font>
      <b/>
      <i/>
      <u val="double"/>
      <sz val="22"/>
      <color rgb="FF92D050"/>
      <name val="Calibri"/>
      <family val="2"/>
      <scheme val="minor"/>
    </font>
    <font>
      <sz val="12"/>
      <color theme="0"/>
      <name val="Calibri"/>
      <family val="2"/>
      <scheme val="minor"/>
    </font>
    <font>
      <sz val="10"/>
      <name val="Calibri"/>
      <family val="2"/>
      <scheme val="minor"/>
    </font>
    <font>
      <b/>
      <sz val="12"/>
      <color theme="0"/>
      <name val="Calibri"/>
      <family val="2"/>
      <scheme val="minor"/>
    </font>
    <font>
      <i/>
      <sz val="9"/>
      <name val="Calibri"/>
      <family val="2"/>
      <scheme val="minor"/>
    </font>
    <font>
      <i/>
      <u/>
      <sz val="11"/>
      <name val="Calibri"/>
      <family val="2"/>
      <scheme val="minor"/>
    </font>
    <font>
      <b/>
      <sz val="11"/>
      <color indexed="56"/>
      <name val="Calibri"/>
      <family val="2"/>
      <scheme val="minor"/>
    </font>
    <font>
      <i/>
      <u/>
      <sz val="16"/>
      <color rgb="FF92D050"/>
      <name val="Calibri"/>
      <family val="2"/>
      <scheme val="minor"/>
    </font>
    <font>
      <b/>
      <sz val="11"/>
      <color indexed="9"/>
      <name val="Calibri"/>
      <family val="2"/>
      <scheme val="minor"/>
    </font>
    <font>
      <sz val="11"/>
      <color indexed="9"/>
      <name val="Calibri"/>
      <family val="2"/>
      <scheme val="minor"/>
    </font>
    <font>
      <u/>
      <sz val="10"/>
      <name val="Calibri"/>
      <family val="2"/>
      <scheme val="minor"/>
    </font>
    <font>
      <sz val="72"/>
      <color indexed="57"/>
      <name val="Calibri"/>
      <family val="2"/>
      <scheme val="minor"/>
    </font>
    <font>
      <sz val="12"/>
      <color indexed="12"/>
      <name val="Calibri"/>
      <family val="2"/>
      <scheme val="minor"/>
    </font>
    <font>
      <sz val="12"/>
      <color indexed="8"/>
      <name val="Calibri"/>
      <family val="2"/>
      <scheme val="minor"/>
    </font>
    <font>
      <i/>
      <sz val="10"/>
      <name val="Calibri"/>
      <family val="2"/>
      <scheme val="minor"/>
    </font>
    <font>
      <sz val="9"/>
      <name val="Calibri"/>
      <family val="2"/>
      <scheme val="minor"/>
    </font>
    <font>
      <sz val="8"/>
      <name val="Calibri"/>
      <family val="2"/>
      <scheme val="minor"/>
    </font>
    <font>
      <b/>
      <sz val="14"/>
      <color indexed="8"/>
      <name val="Calibri"/>
      <family val="2"/>
      <scheme val="minor"/>
    </font>
    <font>
      <sz val="14"/>
      <color indexed="8"/>
      <name val="Calibri"/>
      <family val="2"/>
      <scheme val="minor"/>
    </font>
    <font>
      <b/>
      <i/>
      <sz val="26"/>
      <color rgb="FF92D050"/>
      <name val="Calibri"/>
      <family val="2"/>
      <scheme val="minor"/>
    </font>
    <font>
      <b/>
      <i/>
      <sz val="14"/>
      <color theme="0"/>
      <name val="Calibri"/>
      <family val="2"/>
      <scheme val="minor"/>
    </font>
    <font>
      <b/>
      <sz val="13"/>
      <color theme="0"/>
      <name val="Calibri"/>
      <family val="2"/>
      <scheme val="minor"/>
    </font>
    <font>
      <sz val="13"/>
      <name val="Calibri"/>
      <family val="2"/>
      <scheme val="minor"/>
    </font>
  </fonts>
  <fills count="7">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rgb="FF92D050"/>
        <bgColor indexed="64"/>
      </patternFill>
    </fill>
    <fill>
      <patternFill patternType="solid">
        <fgColor rgb="FF92D050"/>
        <bgColor indexed="9"/>
      </patternFill>
    </fill>
  </fills>
  <borders count="79">
    <border>
      <left/>
      <right/>
      <top/>
      <bottom/>
      <diagonal/>
    </border>
    <border>
      <left/>
      <right/>
      <top style="double">
        <color indexed="0"/>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double">
        <color indexed="0"/>
      </left>
      <right/>
      <top style="double">
        <color indexed="0"/>
      </top>
      <bottom/>
      <diagonal/>
    </border>
    <border>
      <left style="double">
        <color indexed="0"/>
      </left>
      <right/>
      <top/>
      <bottom/>
      <diagonal/>
    </border>
    <border>
      <left style="double">
        <color indexed="0"/>
      </left>
      <right/>
      <top style="thin">
        <color indexed="0"/>
      </top>
      <bottom/>
      <diagonal/>
    </border>
    <border>
      <left/>
      <right/>
      <top style="thin">
        <color indexed="0"/>
      </top>
      <bottom/>
      <diagonal/>
    </border>
    <border>
      <left/>
      <right style="double">
        <color indexed="0"/>
      </right>
      <top style="double">
        <color indexed="0"/>
      </top>
      <bottom/>
      <diagonal/>
    </border>
    <border>
      <left/>
      <right style="double">
        <color indexed="0"/>
      </right>
      <top/>
      <bottom/>
      <diagonal/>
    </border>
    <border>
      <left/>
      <right/>
      <top/>
      <bottom style="double">
        <color indexed="0"/>
      </bottom>
      <diagonal/>
    </border>
    <border>
      <left/>
      <right/>
      <top style="medium">
        <color indexed="64"/>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right style="double">
        <color indexed="0"/>
      </right>
      <top/>
      <bottom style="double">
        <color indexed="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uble">
        <color indexed="0"/>
      </top>
      <bottom/>
      <diagonal/>
    </border>
    <border>
      <left/>
      <right style="thin">
        <color indexed="64"/>
      </right>
      <top style="double">
        <color indexed="0"/>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indexed="64"/>
      </left>
      <right style="thin">
        <color indexed="64"/>
      </right>
      <top style="double">
        <color indexed="0"/>
      </top>
      <bottom/>
      <diagonal/>
    </border>
    <border>
      <left style="thick">
        <color indexed="64"/>
      </left>
      <right style="thin">
        <color indexed="64"/>
      </right>
      <top/>
      <bottom style="thick">
        <color indexed="64"/>
      </bottom>
      <diagonal/>
    </border>
    <border>
      <left/>
      <right style="thick">
        <color indexed="64"/>
      </right>
      <top/>
      <bottom style="double">
        <color indexed="0"/>
      </bottom>
      <diagonal/>
    </border>
    <border>
      <left style="thin">
        <color indexed="64"/>
      </left>
      <right style="thin">
        <color indexed="64"/>
      </right>
      <top style="double">
        <color indexed="0"/>
      </top>
      <bottom/>
      <diagonal/>
    </border>
    <border>
      <left style="thin">
        <color indexed="64"/>
      </left>
      <right style="thick">
        <color indexed="64"/>
      </right>
      <top style="double">
        <color indexed="0"/>
      </top>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double">
        <color indexed="0"/>
      </left>
      <right/>
      <top/>
      <bottom style="double">
        <color indexed="0"/>
      </bottom>
      <diagonal/>
    </border>
    <border>
      <left style="medium">
        <color indexed="64"/>
      </left>
      <right/>
      <top style="medium">
        <color indexed="64"/>
      </top>
      <bottom/>
      <diagonal/>
    </border>
    <border>
      <left/>
      <right style="thin">
        <color indexed="30"/>
      </right>
      <top style="thick">
        <color indexed="64"/>
      </top>
      <bottom/>
      <diagonal/>
    </border>
    <border>
      <left style="thin">
        <color indexed="30"/>
      </left>
      <right style="thin">
        <color indexed="30"/>
      </right>
      <top style="thick">
        <color indexed="64"/>
      </top>
      <bottom/>
      <diagonal/>
    </border>
    <border>
      <left style="thin">
        <color indexed="30"/>
      </left>
      <right style="thick">
        <color indexed="64"/>
      </right>
      <top style="thick">
        <color indexed="64"/>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top style="thin">
        <color indexed="64"/>
      </top>
      <bottom style="thin">
        <color indexed="64"/>
      </bottom>
      <diagonal/>
    </border>
    <border>
      <left/>
      <right style="thin">
        <color indexed="30"/>
      </right>
      <top style="thin">
        <color indexed="64"/>
      </top>
      <bottom style="thin">
        <color indexed="64"/>
      </bottom>
      <diagonal/>
    </border>
    <border>
      <left style="thin">
        <color indexed="30"/>
      </left>
      <right style="thin">
        <color indexed="30"/>
      </right>
      <top style="thin">
        <color indexed="64"/>
      </top>
      <bottom style="thin">
        <color indexed="64"/>
      </bottom>
      <diagonal/>
    </border>
    <border>
      <left style="thin">
        <color indexed="30"/>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right/>
      <top style="thin">
        <color indexed="64"/>
      </top>
      <bottom style="thick">
        <color indexed="64"/>
      </bottom>
      <diagonal/>
    </border>
    <border>
      <left/>
      <right style="thin">
        <color indexed="30"/>
      </right>
      <top style="thin">
        <color indexed="64"/>
      </top>
      <bottom style="thick">
        <color indexed="64"/>
      </bottom>
      <diagonal/>
    </border>
    <border>
      <left style="thin">
        <color indexed="30"/>
      </left>
      <right/>
      <top style="thin">
        <color indexed="64"/>
      </top>
      <bottom/>
      <diagonal/>
    </border>
    <border>
      <left/>
      <right style="thick">
        <color indexed="64"/>
      </right>
      <top style="thin">
        <color indexed="64"/>
      </top>
      <bottom/>
      <diagonal/>
    </border>
    <border>
      <left style="thin">
        <color indexed="30"/>
      </left>
      <right/>
      <top/>
      <bottom style="thick">
        <color indexed="64"/>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ck">
        <color indexed="64"/>
      </right>
      <top style="thick">
        <color indexed="64"/>
      </top>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1">
    <xf numFmtId="0" fontId="0" fillId="0" borderId="0">
      <alignment vertical="top"/>
    </xf>
    <xf numFmtId="3" fontId="16" fillId="0" borderId="0" applyFont="0" applyFill="0" applyBorder="0" applyAlignment="0" applyProtection="0"/>
    <xf numFmtId="5" fontId="16" fillId="0" borderId="0" applyFont="0" applyFill="0" applyBorder="0" applyAlignment="0" applyProtection="0"/>
    <xf numFmtId="0" fontId="16" fillId="0" borderId="0" applyFont="0" applyFill="0" applyBorder="0" applyAlignment="0" applyProtection="0"/>
    <xf numFmtId="2" fontId="16" fillId="0" borderId="0" applyFont="0" applyFill="0" applyBorder="0" applyAlignment="0" applyProtection="0"/>
    <xf numFmtId="0" fontId="1" fillId="0" borderId="0" applyNumberFormat="0" applyFont="0" applyFill="0" applyAlignment="0" applyProtection="0"/>
    <xf numFmtId="0" fontId="2" fillId="0" borderId="0" applyNumberFormat="0" applyFont="0" applyFill="0" applyAlignment="0" applyProtection="0"/>
    <xf numFmtId="0" fontId="4" fillId="0" borderId="0"/>
    <xf numFmtId="0" fontId="4" fillId="0" borderId="0"/>
    <xf numFmtId="0" fontId="4" fillId="0" borderId="0"/>
    <xf numFmtId="0" fontId="16" fillId="0" borderId="1" applyNumberFormat="0" applyFont="0" applyBorder="0" applyAlignment="0" applyProtection="0"/>
  </cellStyleXfs>
  <cellXfs count="299">
    <xf numFmtId="0" fontId="0" fillId="0" borderId="0" xfId="0" applyAlignment="1"/>
    <xf numFmtId="0" fontId="4" fillId="0" borderId="0" xfId="9"/>
    <xf numFmtId="170" fontId="4" fillId="0" borderId="0" xfId="9" applyNumberFormat="1"/>
    <xf numFmtId="169" fontId="4" fillId="0" borderId="0" xfId="9" applyNumberFormat="1"/>
    <xf numFmtId="0" fontId="5" fillId="0" borderId="0" xfId="9" applyFont="1" applyBorder="1" applyAlignment="1"/>
    <xf numFmtId="0" fontId="4" fillId="0" borderId="0" xfId="9" applyBorder="1"/>
    <xf numFmtId="170" fontId="4" fillId="0" borderId="0" xfId="9" applyNumberFormat="1" applyBorder="1"/>
    <xf numFmtId="1" fontId="4" fillId="0" borderId="2" xfId="9" applyNumberFormat="1" applyBorder="1" applyAlignment="1">
      <alignment horizontal="center"/>
    </xf>
    <xf numFmtId="0" fontId="4" fillId="0" borderId="0" xfId="9" applyNumberFormat="1" applyAlignment="1"/>
    <xf numFmtId="0" fontId="4" fillId="0" borderId="0" xfId="9" applyNumberFormat="1" applyBorder="1" applyAlignment="1"/>
    <xf numFmtId="0" fontId="4" fillId="0" borderId="3" xfId="9" applyNumberFormat="1" applyBorder="1" applyAlignment="1"/>
    <xf numFmtId="0" fontId="4" fillId="0" borderId="3" xfId="9" applyNumberFormat="1" applyBorder="1" applyAlignment="1">
      <alignment horizontal="left"/>
    </xf>
    <xf numFmtId="1" fontId="4" fillId="0" borderId="0" xfId="9" applyNumberFormat="1" applyBorder="1" applyAlignment="1">
      <alignment horizontal="left"/>
    </xf>
    <xf numFmtId="1" fontId="4" fillId="0" borderId="4" xfId="9" applyNumberFormat="1" applyBorder="1" applyAlignment="1">
      <alignment horizontal="left"/>
    </xf>
    <xf numFmtId="3" fontId="4" fillId="0" borderId="3" xfId="9" applyNumberFormat="1" applyBorder="1" applyAlignment="1">
      <alignment horizontal="left"/>
    </xf>
    <xf numFmtId="3" fontId="4" fillId="0" borderId="0" xfId="9" applyNumberFormat="1" applyBorder="1" applyAlignment="1">
      <alignment horizontal="left"/>
    </xf>
    <xf numFmtId="3" fontId="4" fillId="0" borderId="4" xfId="9" applyNumberFormat="1" applyBorder="1" applyAlignment="1">
      <alignment horizontal="left"/>
    </xf>
    <xf numFmtId="164" fontId="4" fillId="0" borderId="3" xfId="9" applyNumberFormat="1" applyBorder="1" applyAlignment="1">
      <alignment horizontal="left"/>
    </xf>
    <xf numFmtId="164" fontId="4" fillId="0" borderId="0" xfId="9" applyNumberFormat="1" applyBorder="1" applyAlignment="1">
      <alignment horizontal="left"/>
    </xf>
    <xf numFmtId="164" fontId="4" fillId="0" borderId="4" xfId="9" applyNumberFormat="1" applyBorder="1" applyAlignment="1">
      <alignment horizontal="left"/>
    </xf>
    <xf numFmtId="0" fontId="4" fillId="0" borderId="0" xfId="9" applyNumberFormat="1" applyBorder="1" applyAlignment="1">
      <alignment horizontal="left"/>
    </xf>
    <xf numFmtId="0" fontId="4" fillId="0" borderId="0" xfId="9" applyBorder="1" applyAlignment="1">
      <alignment horizontal="left"/>
    </xf>
    <xf numFmtId="1" fontId="4" fillId="0" borderId="5" xfId="9" applyNumberFormat="1" applyBorder="1" applyAlignment="1">
      <alignment horizontal="left"/>
    </xf>
    <xf numFmtId="3" fontId="4" fillId="0" borderId="6" xfId="9" applyNumberFormat="1" applyBorder="1" applyAlignment="1">
      <alignment horizontal="left"/>
    </xf>
    <xf numFmtId="3" fontId="4" fillId="0" borderId="5" xfId="9" applyNumberFormat="1" applyBorder="1" applyAlignment="1">
      <alignment horizontal="left"/>
    </xf>
    <xf numFmtId="164" fontId="4" fillId="0" borderId="6" xfId="9" applyNumberFormat="1" applyBorder="1" applyAlignment="1">
      <alignment horizontal="left"/>
    </xf>
    <xf numFmtId="164" fontId="4" fillId="0" borderId="5" xfId="9" applyNumberFormat="1" applyBorder="1" applyAlignment="1">
      <alignment horizontal="left"/>
    </xf>
    <xf numFmtId="164" fontId="4" fillId="0" borderId="7" xfId="9" applyNumberFormat="1" applyBorder="1" applyAlignment="1">
      <alignment horizontal="left"/>
    </xf>
    <xf numFmtId="0" fontId="4" fillId="0" borderId="5" xfId="9" applyNumberFormat="1" applyBorder="1" applyAlignment="1">
      <alignment horizontal="left"/>
    </xf>
    <xf numFmtId="0" fontId="4" fillId="0" borderId="5" xfId="9" applyBorder="1" applyAlignment="1">
      <alignment horizontal="left"/>
    </xf>
    <xf numFmtId="1" fontId="4" fillId="0" borderId="7" xfId="9" applyNumberFormat="1" applyBorder="1" applyAlignment="1">
      <alignment horizontal="left"/>
    </xf>
    <xf numFmtId="0" fontId="4" fillId="0" borderId="0" xfId="9" applyBorder="1" applyAlignment="1"/>
    <xf numFmtId="0" fontId="4" fillId="0" borderId="0" xfId="9" applyAlignment="1"/>
    <xf numFmtId="3" fontId="4" fillId="0" borderId="0" xfId="9" applyNumberFormat="1" applyFill="1" applyBorder="1" applyAlignment="1">
      <alignment horizontal="left"/>
    </xf>
    <xf numFmtId="168" fontId="4" fillId="0" borderId="4" xfId="9" applyNumberFormat="1" applyFill="1" applyBorder="1" applyAlignment="1">
      <alignment horizontal="left"/>
    </xf>
    <xf numFmtId="3" fontId="4" fillId="0" borderId="5" xfId="9" applyNumberFormat="1" applyFill="1" applyBorder="1" applyAlignment="1">
      <alignment horizontal="left"/>
    </xf>
    <xf numFmtId="168" fontId="4" fillId="0" borderId="7" xfId="9" applyNumberFormat="1" applyFill="1" applyBorder="1" applyAlignment="1">
      <alignment horizontal="left"/>
    </xf>
    <xf numFmtId="1" fontId="4" fillId="0" borderId="4" xfId="9" applyNumberFormat="1" applyBorder="1" applyAlignment="1" applyProtection="1">
      <alignment horizontal="center"/>
      <protection locked="0"/>
    </xf>
    <xf numFmtId="1" fontId="4" fillId="0" borderId="7" xfId="9" applyNumberFormat="1" applyBorder="1" applyAlignment="1" applyProtection="1">
      <alignment horizontal="center"/>
      <protection locked="0"/>
    </xf>
    <xf numFmtId="0" fontId="4" fillId="0" borderId="3" xfId="9" applyNumberFormat="1" applyFont="1" applyBorder="1" applyAlignment="1">
      <alignment horizontal="left"/>
    </xf>
    <xf numFmtId="0" fontId="4" fillId="0" borderId="0" xfId="9" applyFont="1" applyBorder="1" applyAlignment="1">
      <alignment horizontal="left"/>
    </xf>
    <xf numFmtId="0" fontId="4" fillId="0" borderId="0" xfId="9" applyNumberFormat="1" applyFont="1" applyAlignment="1"/>
    <xf numFmtId="1" fontId="4" fillId="0" borderId="4" xfId="9" applyNumberFormat="1" applyFill="1" applyBorder="1" applyAlignment="1">
      <alignment horizontal="left"/>
    </xf>
    <xf numFmtId="0" fontId="4" fillId="0" borderId="0" xfId="7"/>
    <xf numFmtId="0" fontId="10" fillId="0" borderId="0" xfId="7" applyFont="1"/>
    <xf numFmtId="0" fontId="4" fillId="0" borderId="0" xfId="7" applyFont="1"/>
    <xf numFmtId="0" fontId="0" fillId="3" borderId="17" xfId="0" applyFill="1" applyBorder="1" applyAlignment="1"/>
    <xf numFmtId="0" fontId="0" fillId="3" borderId="18" xfId="0" applyFill="1" applyBorder="1" applyAlignment="1"/>
    <xf numFmtId="0" fontId="0" fillId="3" borderId="19" xfId="0" applyFill="1" applyBorder="1" applyAlignment="1"/>
    <xf numFmtId="0" fontId="0" fillId="3" borderId="20" xfId="0" applyFill="1" applyBorder="1" applyAlignment="1"/>
    <xf numFmtId="0" fontId="0" fillId="3" borderId="0" xfId="0" applyFill="1" applyBorder="1" applyAlignment="1"/>
    <xf numFmtId="0" fontId="0" fillId="3" borderId="21" xfId="0" applyFill="1" applyBorder="1" applyAlignment="1"/>
    <xf numFmtId="0" fontId="6" fillId="3" borderId="0" xfId="0" applyFont="1" applyFill="1" applyBorder="1" applyAlignment="1"/>
    <xf numFmtId="0" fontId="3" fillId="3" borderId="0" xfId="0" applyFont="1" applyFill="1" applyBorder="1" applyAlignment="1"/>
    <xf numFmtId="3" fontId="3" fillId="3" borderId="0" xfId="0" applyNumberFormat="1" applyFont="1" applyFill="1" applyBorder="1" applyAlignment="1"/>
    <xf numFmtId="0" fontId="0" fillId="3" borderId="22" xfId="0" applyFill="1" applyBorder="1" applyAlignment="1"/>
    <xf numFmtId="0" fontId="0" fillId="3" borderId="23" xfId="0" applyFill="1" applyBorder="1" applyAlignment="1"/>
    <xf numFmtId="0" fontId="0" fillId="3" borderId="24" xfId="0" applyFill="1" applyBorder="1" applyAlignment="1"/>
    <xf numFmtId="0" fontId="7" fillId="3" borderId="0" xfId="0" applyFont="1" applyFill="1" applyBorder="1" applyAlignment="1"/>
    <xf numFmtId="0" fontId="8" fillId="3" borderId="0" xfId="0" applyFont="1" applyFill="1" applyBorder="1" applyAlignment="1"/>
    <xf numFmtId="0" fontId="12" fillId="3" borderId="0" xfId="0" applyFont="1" applyFill="1" applyBorder="1" applyAlignment="1"/>
    <xf numFmtId="0" fontId="4" fillId="0" borderId="3" xfId="9" applyNumberFormat="1" applyFont="1" applyFill="1" applyBorder="1" applyAlignment="1">
      <alignment horizontal="left"/>
    </xf>
    <xf numFmtId="0" fontId="4" fillId="0" borderId="3" xfId="9" applyNumberFormat="1" applyFill="1" applyBorder="1" applyAlignment="1">
      <alignment horizontal="left"/>
    </xf>
    <xf numFmtId="0" fontId="4" fillId="0" borderId="0" xfId="8"/>
    <xf numFmtId="0" fontId="13" fillId="2" borderId="17" xfId="8" applyFont="1" applyFill="1" applyBorder="1"/>
    <xf numFmtId="0" fontId="4" fillId="2" borderId="18" xfId="8" applyFill="1" applyBorder="1"/>
    <xf numFmtId="0" fontId="4" fillId="2" borderId="19" xfId="8" applyFill="1" applyBorder="1"/>
    <xf numFmtId="0" fontId="14" fillId="2" borderId="20" xfId="8" applyFont="1" applyFill="1" applyBorder="1"/>
    <xf numFmtId="0" fontId="4" fillId="2" borderId="0" xfId="8" applyFill="1" applyBorder="1"/>
    <xf numFmtId="0" fontId="4" fillId="2" borderId="21" xfId="8" applyFill="1" applyBorder="1"/>
    <xf numFmtId="0" fontId="4" fillId="2" borderId="20" xfId="8" applyFill="1" applyBorder="1"/>
    <xf numFmtId="0" fontId="4" fillId="2" borderId="25" xfId="8" applyFill="1" applyBorder="1" applyProtection="1">
      <protection locked="0"/>
    </xf>
    <xf numFmtId="2" fontId="4" fillId="2" borderId="0" xfId="8" applyNumberFormat="1" applyFill="1" applyBorder="1"/>
    <xf numFmtId="166" fontId="4" fillId="2" borderId="0" xfId="8" applyNumberFormat="1" applyFill="1" applyBorder="1"/>
    <xf numFmtId="2" fontId="4" fillId="2" borderId="0" xfId="8" applyNumberFormat="1" applyFill="1" applyBorder="1" applyAlignment="1">
      <alignment horizontal="center"/>
    </xf>
    <xf numFmtId="0" fontId="4" fillId="2" borderId="0" xfId="8" applyFill="1" applyBorder="1" applyProtection="1">
      <protection locked="0"/>
    </xf>
    <xf numFmtId="2" fontId="4" fillId="2" borderId="25" xfId="8" applyNumberFormat="1" applyFill="1" applyBorder="1"/>
    <xf numFmtId="0" fontId="13" fillId="2" borderId="20" xfId="8" applyFont="1" applyFill="1" applyBorder="1"/>
    <xf numFmtId="0" fontId="4" fillId="0" borderId="21" xfId="8" applyBorder="1"/>
    <xf numFmtId="0" fontId="4" fillId="2" borderId="22" xfId="8" applyFill="1" applyBorder="1"/>
    <xf numFmtId="0" fontId="4" fillId="2" borderId="23" xfId="8" applyFill="1" applyBorder="1"/>
    <xf numFmtId="0" fontId="4" fillId="2" borderId="24" xfId="8" applyFill="1" applyBorder="1"/>
    <xf numFmtId="164" fontId="4" fillId="0" borderId="0" xfId="9" applyNumberFormat="1" applyFill="1" applyBorder="1" applyAlignment="1">
      <alignment horizontal="left"/>
    </xf>
    <xf numFmtId="164" fontId="4" fillId="0" borderId="5" xfId="9" applyNumberFormat="1" applyFill="1" applyBorder="1" applyAlignment="1">
      <alignment horizontal="left"/>
    </xf>
    <xf numFmtId="0" fontId="17" fillId="4" borderId="0" xfId="0" applyFont="1" applyFill="1" applyAlignment="1" applyProtection="1">
      <protection locked="0"/>
    </xf>
    <xf numFmtId="1" fontId="17" fillId="4" borderId="0" xfId="0" applyNumberFormat="1" applyFont="1" applyFill="1" applyAlignment="1" applyProtection="1">
      <alignment horizontal="center"/>
      <protection locked="0"/>
    </xf>
    <xf numFmtId="1" fontId="17" fillId="4" borderId="27" xfId="0" applyNumberFormat="1" applyFont="1" applyFill="1" applyBorder="1" applyAlignment="1" applyProtection="1">
      <alignment horizontal="center"/>
      <protection locked="0"/>
    </xf>
    <xf numFmtId="0" fontId="17" fillId="4" borderId="28" xfId="0" applyFont="1" applyFill="1" applyBorder="1" applyAlignment="1" applyProtection="1">
      <alignment horizontal="center"/>
      <protection locked="0"/>
    </xf>
    <xf numFmtId="0" fontId="17" fillId="4" borderId="29" xfId="0" applyFont="1" applyFill="1" applyBorder="1" applyAlignment="1" applyProtection="1">
      <alignment horizontal="center"/>
      <protection locked="0"/>
    </xf>
    <xf numFmtId="1" fontId="17" fillId="4" borderId="30" xfId="0" applyNumberFormat="1" applyFont="1" applyFill="1" applyBorder="1" applyAlignment="1" applyProtection="1">
      <alignment horizontal="center"/>
      <protection locked="0"/>
    </xf>
    <xf numFmtId="0" fontId="17" fillId="4" borderId="0" xfId="0" applyFont="1" applyFill="1" applyBorder="1" applyAlignment="1" applyProtection="1">
      <alignment horizontal="center"/>
      <protection locked="0"/>
    </xf>
    <xf numFmtId="0" fontId="17" fillId="4" borderId="31" xfId="0" applyFont="1" applyFill="1" applyBorder="1" applyAlignment="1" applyProtection="1">
      <alignment horizontal="center"/>
      <protection locked="0"/>
    </xf>
    <xf numFmtId="0" fontId="17" fillId="4" borderId="30" xfId="0" applyFont="1" applyFill="1" applyBorder="1" applyAlignment="1" applyProtection="1">
      <alignment horizontal="center"/>
      <protection locked="0"/>
    </xf>
    <xf numFmtId="0" fontId="17" fillId="4" borderId="0" xfId="0" applyFont="1" applyFill="1" applyBorder="1" applyAlignment="1" applyProtection="1">
      <protection locked="0"/>
    </xf>
    <xf numFmtId="164" fontId="17" fillId="0" borderId="0" xfId="0" applyNumberFormat="1" applyFont="1" applyFill="1" applyBorder="1" applyAlignment="1"/>
    <xf numFmtId="0" fontId="17" fillId="0" borderId="0" xfId="0" applyFont="1" applyAlignment="1"/>
    <xf numFmtId="164" fontId="17" fillId="0" borderId="0" xfId="0" applyNumberFormat="1" applyFont="1" applyFill="1" applyAlignment="1"/>
    <xf numFmtId="9" fontId="17" fillId="0" borderId="30" xfId="0" applyNumberFormat="1" applyFont="1" applyFill="1" applyBorder="1" applyAlignment="1"/>
    <xf numFmtId="1" fontId="17" fillId="0" borderId="0" xfId="0" applyNumberFormat="1" applyFont="1" applyFill="1" applyBorder="1" applyAlignment="1"/>
    <xf numFmtId="2" fontId="17" fillId="0" borderId="0" xfId="0" applyNumberFormat="1" applyFont="1" applyFill="1" applyBorder="1" applyAlignment="1"/>
    <xf numFmtId="2" fontId="17" fillId="0" borderId="31" xfId="0" applyNumberFormat="1" applyFont="1" applyFill="1" applyBorder="1" applyAlignment="1"/>
    <xf numFmtId="0" fontId="17" fillId="0" borderId="0" xfId="0" applyFont="1" applyFill="1" applyAlignment="1"/>
    <xf numFmtId="1" fontId="17" fillId="0" borderId="0" xfId="0" applyNumberFormat="1" applyFont="1" applyFill="1" applyAlignment="1"/>
    <xf numFmtId="1" fontId="18" fillId="0" borderId="0" xfId="0" applyNumberFormat="1" applyFont="1" applyFill="1" applyAlignment="1">
      <alignment horizontal="center"/>
    </xf>
    <xf numFmtId="0" fontId="17" fillId="0" borderId="0" xfId="0" applyFont="1" applyFill="1" applyBorder="1" applyAlignment="1"/>
    <xf numFmtId="164" fontId="19" fillId="0" borderId="0" xfId="0" applyNumberFormat="1" applyFont="1" applyFill="1" applyBorder="1" applyAlignment="1" applyProtection="1">
      <alignment horizontal="center"/>
      <protection locked="0"/>
    </xf>
    <xf numFmtId="0" fontId="17" fillId="0" borderId="0" xfId="0" applyFont="1" applyBorder="1" applyAlignment="1"/>
    <xf numFmtId="1" fontId="17" fillId="0" borderId="32" xfId="0" applyNumberFormat="1" applyFont="1" applyFill="1" applyBorder="1" applyAlignment="1"/>
    <xf numFmtId="0" fontId="17" fillId="0" borderId="1" xfId="0" applyFont="1" applyFill="1" applyBorder="1" applyAlignment="1"/>
    <xf numFmtId="2" fontId="17" fillId="0" borderId="1" xfId="0" applyNumberFormat="1" applyFont="1" applyFill="1" applyBorder="1" applyAlignment="1"/>
    <xf numFmtId="2" fontId="17" fillId="0" borderId="33" xfId="0" applyNumberFormat="1" applyFont="1" applyFill="1" applyBorder="1" applyAlignment="1"/>
    <xf numFmtId="2" fontId="17" fillId="0" borderId="0" xfId="0" applyNumberFormat="1" applyFont="1" applyFill="1" applyAlignment="1">
      <alignment horizontal="right"/>
    </xf>
    <xf numFmtId="0" fontId="17" fillId="0" borderId="34" xfId="0" applyFont="1" applyFill="1" applyBorder="1" applyAlignment="1">
      <alignment horizontal="right"/>
    </xf>
    <xf numFmtId="0" fontId="17" fillId="0" borderId="35" xfId="0" applyFont="1" applyFill="1" applyBorder="1" applyAlignment="1">
      <alignment horizontal="right"/>
    </xf>
    <xf numFmtId="0" fontId="17" fillId="0" borderId="36" xfId="0" applyFont="1" applyFill="1" applyBorder="1" applyAlignment="1">
      <alignment horizontal="right"/>
    </xf>
    <xf numFmtId="0" fontId="20" fillId="0" borderId="0" xfId="0" applyFont="1" applyFill="1" applyAlignment="1">
      <alignment horizontal="center"/>
    </xf>
    <xf numFmtId="0" fontId="17" fillId="0" borderId="0" xfId="0" applyFont="1" applyFill="1" applyAlignment="1">
      <alignment horizontal="center"/>
    </xf>
    <xf numFmtId="3" fontId="17" fillId="0" borderId="0" xfId="0" applyNumberFormat="1" applyFont="1" applyFill="1" applyAlignment="1">
      <alignment horizontal="center"/>
    </xf>
    <xf numFmtId="1" fontId="17" fillId="0" borderId="0" xfId="0" applyNumberFormat="1" applyFont="1" applyFill="1" applyAlignment="1">
      <alignment horizontal="center"/>
    </xf>
    <xf numFmtId="1" fontId="20" fillId="0" borderId="0" xfId="0" applyNumberFormat="1" applyFont="1" applyFill="1" applyAlignment="1">
      <alignment horizontal="center"/>
    </xf>
    <xf numFmtId="0" fontId="17" fillId="0" borderId="0" xfId="0" applyFont="1" applyFill="1" applyAlignment="1" applyProtection="1">
      <alignment horizontal="center" wrapText="1"/>
      <protection locked="0"/>
    </xf>
    <xf numFmtId="3" fontId="17" fillId="0" borderId="0" xfId="0" applyNumberFormat="1" applyFont="1" applyFill="1" applyAlignment="1" applyProtection="1">
      <alignment horizontal="center" wrapText="1"/>
      <protection locked="0"/>
    </xf>
    <xf numFmtId="0" fontId="20" fillId="0" borderId="0" xfId="0" applyFont="1" applyAlignment="1">
      <alignment horizontal="center"/>
    </xf>
    <xf numFmtId="0" fontId="17" fillId="0" borderId="0" xfId="0" applyFont="1" applyAlignment="1">
      <alignment horizontal="center"/>
    </xf>
    <xf numFmtId="3" fontId="17" fillId="0" borderId="0" xfId="0" applyNumberFormat="1" applyFont="1" applyAlignment="1">
      <alignment horizontal="center"/>
    </xf>
    <xf numFmtId="0" fontId="20" fillId="0" borderId="0" xfId="0" applyFont="1" applyFill="1" applyAlignment="1" applyProtection="1">
      <alignment horizontal="center"/>
      <protection locked="0"/>
    </xf>
    <xf numFmtId="0" fontId="17" fillId="0" borderId="0" xfId="0" applyFont="1" applyFill="1" applyAlignment="1" applyProtection="1">
      <alignment horizontal="center"/>
      <protection locked="0"/>
    </xf>
    <xf numFmtId="3" fontId="17" fillId="0" borderId="0" xfId="0" applyNumberFormat="1" applyFont="1" applyFill="1" applyAlignment="1" applyProtection="1">
      <alignment horizontal="center"/>
      <protection locked="0"/>
    </xf>
    <xf numFmtId="0" fontId="17" fillId="0" borderId="0" xfId="0" applyFont="1" applyFill="1" applyAlignment="1" applyProtection="1">
      <protection locked="0"/>
    </xf>
    <xf numFmtId="0" fontId="21" fillId="0" borderId="0" xfId="0" applyFont="1" applyFill="1" applyAlignment="1" applyProtection="1">
      <protection locked="0"/>
    </xf>
    <xf numFmtId="1" fontId="17" fillId="0" borderId="0" xfId="0" applyNumberFormat="1" applyFont="1" applyFill="1" applyAlignment="1" applyProtection="1">
      <alignment horizontal="left"/>
      <protection locked="0"/>
    </xf>
    <xf numFmtId="1" fontId="17" fillId="0" borderId="0" xfId="0" applyNumberFormat="1" applyFont="1" applyFill="1" applyAlignment="1" applyProtection="1">
      <alignment horizontal="center"/>
      <protection locked="0"/>
    </xf>
    <xf numFmtId="0" fontId="17" fillId="0" borderId="0" xfId="0" applyFont="1" applyFill="1" applyBorder="1" applyAlignment="1" applyProtection="1">
      <alignment horizontal="center"/>
      <protection locked="0"/>
    </xf>
    <xf numFmtId="0" fontId="24" fillId="0" borderId="0" xfId="0" applyFont="1" applyFill="1" applyAlignment="1" applyProtection="1">
      <protection locked="0"/>
    </xf>
    <xf numFmtId="0" fontId="25" fillId="0" borderId="0" xfId="0" applyFont="1" applyFill="1" applyAlignment="1" applyProtection="1">
      <alignment horizontal="left"/>
      <protection locked="0"/>
    </xf>
    <xf numFmtId="0" fontId="26" fillId="0" borderId="0" xfId="0" applyFont="1" applyFill="1" applyAlignment="1"/>
    <xf numFmtId="0" fontId="17" fillId="0" borderId="0" xfId="0" applyFont="1" applyBorder="1" applyAlignment="1" applyProtection="1">
      <alignment horizontal="center"/>
      <protection locked="0"/>
    </xf>
    <xf numFmtId="3" fontId="17" fillId="0" borderId="0" xfId="0" applyNumberFormat="1" applyFont="1" applyBorder="1" applyAlignment="1" applyProtection="1">
      <alignment horizontal="center"/>
      <protection locked="0"/>
    </xf>
    <xf numFmtId="0" fontId="20" fillId="0" borderId="37" xfId="0" applyFont="1" applyFill="1" applyBorder="1" applyAlignment="1">
      <alignment horizontal="center"/>
    </xf>
    <xf numFmtId="0" fontId="20" fillId="0" borderId="38" xfId="0" applyFont="1" applyFill="1" applyBorder="1" applyAlignment="1">
      <alignment horizontal="center"/>
    </xf>
    <xf numFmtId="1" fontId="17" fillId="0" borderId="0" xfId="0" applyNumberFormat="1" applyFont="1" applyBorder="1" applyAlignment="1" applyProtection="1">
      <alignment horizontal="center"/>
      <protection locked="0"/>
    </xf>
    <xf numFmtId="164" fontId="17" fillId="0" borderId="21" xfId="0" applyNumberFormat="1" applyFont="1" applyBorder="1" applyAlignment="1" applyProtection="1">
      <alignment horizontal="center"/>
      <protection locked="0"/>
    </xf>
    <xf numFmtId="164" fontId="17" fillId="0" borderId="39" xfId="0" applyNumberFormat="1" applyFont="1" applyBorder="1" applyAlignment="1" applyProtection="1">
      <alignment horizontal="center"/>
      <protection locked="0"/>
    </xf>
    <xf numFmtId="0" fontId="17" fillId="0" borderId="40" xfId="0" applyNumberFormat="1" applyFont="1" applyFill="1" applyBorder="1" applyAlignment="1">
      <alignment horizontal="center"/>
    </xf>
    <xf numFmtId="3" fontId="17" fillId="0" borderId="40" xfId="0" applyNumberFormat="1" applyFont="1" applyFill="1" applyBorder="1" applyAlignment="1">
      <alignment horizontal="center"/>
    </xf>
    <xf numFmtId="164" fontId="17" fillId="0" borderId="41" xfId="0" applyNumberFormat="1" applyFont="1" applyFill="1" applyBorder="1" applyAlignment="1">
      <alignment horizontal="center"/>
    </xf>
    <xf numFmtId="0" fontId="17" fillId="0" borderId="42" xfId="0" applyFont="1" applyFill="1" applyBorder="1" applyAlignment="1">
      <alignment horizontal="center"/>
    </xf>
    <xf numFmtId="3" fontId="17" fillId="0" borderId="42" xfId="0" applyNumberFormat="1" applyFont="1" applyFill="1" applyBorder="1" applyAlignment="1">
      <alignment horizontal="center"/>
    </xf>
    <xf numFmtId="2" fontId="17" fillId="0" borderId="43" xfId="0" applyNumberFormat="1" applyFont="1" applyFill="1" applyBorder="1" applyAlignment="1">
      <alignment horizontal="center"/>
    </xf>
    <xf numFmtId="0" fontId="28" fillId="5" borderId="71" xfId="0" applyFont="1" applyFill="1" applyBorder="1" applyAlignment="1">
      <alignment horizontal="center"/>
    </xf>
    <xf numFmtId="169" fontId="32" fillId="0" borderId="0" xfId="9" applyNumberFormat="1" applyFont="1"/>
    <xf numFmtId="0" fontId="34" fillId="5" borderId="45" xfId="9" applyFont="1" applyFill="1" applyBorder="1" applyAlignment="1"/>
    <xf numFmtId="0" fontId="34" fillId="5" borderId="16" xfId="9" applyFont="1" applyFill="1" applyBorder="1" applyAlignment="1"/>
    <xf numFmtId="0" fontId="34" fillId="5" borderId="2" xfId="9" applyFont="1" applyFill="1" applyBorder="1" applyAlignment="1"/>
    <xf numFmtId="0" fontId="34" fillId="5" borderId="6" xfId="9" applyFont="1" applyFill="1" applyBorder="1" applyAlignment="1">
      <alignment horizontal="center"/>
    </xf>
    <xf numFmtId="0" fontId="34" fillId="5" borderId="5" xfId="9" applyFont="1" applyFill="1" applyBorder="1" applyAlignment="1">
      <alignment horizontal="center"/>
    </xf>
    <xf numFmtId="0" fontId="34" fillId="5" borderId="7" xfId="9" applyFont="1" applyFill="1" applyBorder="1" applyAlignment="1">
      <alignment horizontal="center"/>
    </xf>
    <xf numFmtId="0" fontId="34" fillId="5" borderId="6" xfId="9" applyFont="1" applyFill="1" applyBorder="1"/>
    <xf numFmtId="0" fontId="34" fillId="5" borderId="5" xfId="9" applyFont="1" applyFill="1" applyBorder="1"/>
    <xf numFmtId="0" fontId="34" fillId="5" borderId="7" xfId="9" applyFont="1" applyFill="1" applyBorder="1"/>
    <xf numFmtId="0" fontId="35" fillId="0" borderId="0" xfId="9" applyFont="1" applyBorder="1" applyAlignment="1"/>
    <xf numFmtId="0" fontId="36" fillId="0" borderId="0" xfId="0" applyFont="1" applyAlignment="1"/>
    <xf numFmtId="0" fontId="37" fillId="0" borderId="0" xfId="0" applyFont="1" applyAlignment="1"/>
    <xf numFmtId="0" fontId="38" fillId="0" borderId="0" xfId="0" applyFont="1" applyAlignment="1"/>
    <xf numFmtId="0" fontId="37" fillId="0" borderId="8" xfId="0" applyFont="1" applyBorder="1" applyAlignment="1"/>
    <xf numFmtId="0" fontId="17" fillId="0" borderId="10" xfId="0" applyFont="1" applyFill="1" applyBorder="1" applyAlignment="1"/>
    <xf numFmtId="0" fontId="37" fillId="0" borderId="12" xfId="0" applyFont="1" applyFill="1" applyBorder="1" applyAlignment="1"/>
    <xf numFmtId="0" fontId="17" fillId="0" borderId="12" xfId="0" applyFont="1" applyFill="1" applyBorder="1" applyAlignment="1"/>
    <xf numFmtId="164" fontId="17" fillId="0" borderId="10" xfId="0" applyNumberFormat="1" applyFont="1" applyFill="1" applyBorder="1" applyAlignment="1"/>
    <xf numFmtId="164" fontId="17" fillId="0" borderId="0" xfId="0" applyNumberFormat="1" applyFont="1" applyAlignment="1"/>
    <xf numFmtId="0" fontId="21" fillId="0" borderId="0" xfId="0" applyFont="1" applyAlignment="1"/>
    <xf numFmtId="1" fontId="17" fillId="0" borderId="12" xfId="0" applyNumberFormat="1" applyFont="1" applyFill="1" applyBorder="1" applyAlignment="1"/>
    <xf numFmtId="2" fontId="17" fillId="0" borderId="0" xfId="0" applyNumberFormat="1" applyFont="1" applyAlignment="1"/>
    <xf numFmtId="164" fontId="17" fillId="0" borderId="12" xfId="0" applyNumberFormat="1" applyFont="1" applyFill="1" applyBorder="1" applyAlignment="1"/>
    <xf numFmtId="7" fontId="17" fillId="0" borderId="0" xfId="0" applyNumberFormat="1" applyFont="1" applyAlignment="1"/>
    <xf numFmtId="0" fontId="42" fillId="0" borderId="0" xfId="0" applyFont="1" applyAlignment="1"/>
    <xf numFmtId="0" fontId="43" fillId="0" borderId="0" xfId="0" applyFont="1" applyAlignment="1"/>
    <xf numFmtId="0" fontId="17" fillId="6" borderId="1" xfId="0" applyFont="1" applyFill="1" applyBorder="1" applyAlignment="1"/>
    <xf numFmtId="0" fontId="37" fillId="6" borderId="0" xfId="0" applyFont="1" applyFill="1" applyAlignment="1"/>
    <xf numFmtId="0" fontId="37" fillId="5" borderId="1" xfId="0" applyFont="1" applyFill="1" applyBorder="1" applyAlignment="1"/>
    <xf numFmtId="0" fontId="37" fillId="5" borderId="11" xfId="0" applyFont="1" applyFill="1" applyBorder="1" applyAlignment="1"/>
    <xf numFmtId="0" fontId="37" fillId="5" borderId="10" xfId="0" applyFont="1" applyFill="1" applyBorder="1" applyAlignment="1"/>
    <xf numFmtId="164" fontId="17" fillId="6" borderId="1" xfId="0" applyNumberFormat="1" applyFont="1" applyFill="1" applyBorder="1" applyAlignment="1"/>
    <xf numFmtId="0" fontId="17" fillId="5" borderId="9" xfId="0" applyFont="1" applyFill="1" applyBorder="1" applyAlignment="1"/>
    <xf numFmtId="164" fontId="17" fillId="5" borderId="1" xfId="0" applyNumberFormat="1" applyFont="1" applyFill="1" applyBorder="1" applyAlignment="1"/>
    <xf numFmtId="0" fontId="17" fillId="5" borderId="1" xfId="0" applyFont="1" applyFill="1" applyBorder="1" applyAlignment="1"/>
    <xf numFmtId="0" fontId="17" fillId="5" borderId="13" xfId="0" applyFont="1" applyFill="1" applyBorder="1" applyAlignment="1"/>
    <xf numFmtId="0" fontId="17" fillId="5" borderId="10" xfId="0" applyFont="1" applyFill="1" applyBorder="1" applyAlignment="1"/>
    <xf numFmtId="0" fontId="17" fillId="5" borderId="0" xfId="0" applyFont="1" applyFill="1" applyAlignment="1"/>
    <xf numFmtId="0" fontId="17" fillId="5" borderId="14" xfId="0" applyFont="1" applyFill="1" applyBorder="1" applyAlignment="1"/>
    <xf numFmtId="0" fontId="29" fillId="5" borderId="44" xfId="0" applyFont="1" applyFill="1" applyBorder="1" applyAlignment="1"/>
    <xf numFmtId="0" fontId="17" fillId="5" borderId="15" xfId="0" applyFont="1" applyFill="1" applyBorder="1" applyAlignment="1"/>
    <xf numFmtId="0" fontId="45" fillId="6" borderId="9" xfId="0" applyFont="1" applyFill="1" applyBorder="1" applyAlignment="1"/>
    <xf numFmtId="0" fontId="30" fillId="4" borderId="45" xfId="0" applyFont="1" applyFill="1" applyBorder="1" applyAlignment="1">
      <alignment vertical="top" wrapText="1"/>
    </xf>
    <xf numFmtId="0" fontId="17" fillId="4" borderId="16" xfId="0" applyFont="1" applyFill="1" applyBorder="1" applyAlignment="1">
      <alignment vertical="top" wrapText="1"/>
    </xf>
    <xf numFmtId="0" fontId="17" fillId="4" borderId="2" xfId="0" applyFont="1" applyFill="1" applyBorder="1" applyAlignment="1">
      <alignment vertical="top" wrapText="1"/>
    </xf>
    <xf numFmtId="0" fontId="38" fillId="0" borderId="0" xfId="0" applyFont="1" applyAlignment="1">
      <alignment horizontal="left"/>
    </xf>
    <xf numFmtId="0" fontId="17" fillId="0" borderId="0" xfId="0" applyFont="1" applyAlignment="1" applyProtection="1">
      <alignment wrapText="1"/>
      <protection locked="0"/>
    </xf>
    <xf numFmtId="0" fontId="43" fillId="0" borderId="0" xfId="0" applyFont="1" applyAlignment="1">
      <alignment horizontal="center"/>
    </xf>
    <xf numFmtId="20" fontId="38" fillId="0" borderId="0" xfId="0" applyNumberFormat="1" applyFont="1" applyAlignment="1">
      <alignment horizontal="left"/>
    </xf>
    <xf numFmtId="15" fontId="4" fillId="0" borderId="0" xfId="9" applyNumberFormat="1" applyAlignment="1">
      <alignment horizontal="center"/>
    </xf>
    <xf numFmtId="20" fontId="4" fillId="0" borderId="0" xfId="9" applyNumberFormat="1" applyAlignment="1">
      <alignment horizontal="center"/>
    </xf>
    <xf numFmtId="0" fontId="4" fillId="0" borderId="0" xfId="9" applyAlignment="1">
      <alignment horizontal="center"/>
    </xf>
    <xf numFmtId="15" fontId="34" fillId="5" borderId="16" xfId="9" applyNumberFormat="1" applyFont="1" applyFill="1" applyBorder="1" applyAlignment="1">
      <alignment horizontal="center"/>
    </xf>
    <xf numFmtId="20" fontId="34" fillId="5" borderId="16" xfId="9" applyNumberFormat="1" applyFont="1" applyFill="1" applyBorder="1" applyAlignment="1">
      <alignment horizontal="center"/>
    </xf>
    <xf numFmtId="0" fontId="34" fillId="5" borderId="16" xfId="9" applyFont="1" applyFill="1" applyBorder="1" applyAlignment="1">
      <alignment horizontal="center"/>
    </xf>
    <xf numFmtId="15" fontId="34" fillId="5" borderId="5" xfId="9" applyNumberFormat="1" applyFont="1" applyFill="1" applyBorder="1" applyAlignment="1">
      <alignment horizontal="center"/>
    </xf>
    <xf numFmtId="20" fontId="34" fillId="5" borderId="5" xfId="9" applyNumberFormat="1" applyFont="1" applyFill="1" applyBorder="1" applyAlignment="1">
      <alignment horizontal="center"/>
    </xf>
    <xf numFmtId="15" fontId="4" fillId="0" borderId="0" xfId="9" applyNumberFormat="1" applyBorder="1" applyAlignment="1">
      <alignment horizontal="center"/>
    </xf>
    <xf numFmtId="20" fontId="4" fillId="0" borderId="0" xfId="9" applyNumberFormat="1" applyBorder="1" applyAlignment="1">
      <alignment horizontal="center"/>
    </xf>
    <xf numFmtId="0" fontId="4" fillId="0" borderId="0" xfId="9" applyBorder="1" applyAlignment="1">
      <alignment horizontal="center"/>
    </xf>
    <xf numFmtId="20" fontId="4" fillId="0" borderId="0" xfId="9" applyNumberFormat="1" applyFont="1" applyBorder="1" applyAlignment="1">
      <alignment horizontal="center"/>
    </xf>
    <xf numFmtId="15" fontId="4" fillId="0" borderId="0" xfId="9" applyNumberFormat="1" applyFont="1" applyBorder="1" applyAlignment="1">
      <alignment horizontal="center"/>
    </xf>
    <xf numFmtId="0" fontId="4" fillId="0" borderId="0" xfId="9" applyFont="1" applyBorder="1" applyAlignment="1">
      <alignment horizontal="center"/>
    </xf>
    <xf numFmtId="15" fontId="4" fillId="0" borderId="5" xfId="9" applyNumberFormat="1" applyBorder="1" applyAlignment="1">
      <alignment horizontal="center"/>
    </xf>
    <xf numFmtId="20" fontId="4" fillId="0" borderId="5" xfId="9" applyNumberFormat="1" applyBorder="1" applyAlignment="1">
      <alignment horizontal="center"/>
    </xf>
    <xf numFmtId="0" fontId="4" fillId="0" borderId="5" xfId="9" applyBorder="1" applyAlignment="1">
      <alignment horizontal="center"/>
    </xf>
    <xf numFmtId="0" fontId="47" fillId="0" borderId="0" xfId="0" applyFont="1" applyAlignment="1"/>
    <xf numFmtId="0" fontId="46" fillId="5" borderId="68" xfId="0" applyFont="1" applyFill="1" applyBorder="1" applyAlignment="1" applyProtection="1">
      <alignment horizontal="center"/>
    </xf>
    <xf numFmtId="1" fontId="46" fillId="5" borderId="69" xfId="0" applyNumberFormat="1" applyFont="1" applyFill="1" applyBorder="1" applyAlignment="1" applyProtection="1">
      <alignment horizontal="center"/>
    </xf>
    <xf numFmtId="3" fontId="46" fillId="5" borderId="69" xfId="0" applyNumberFormat="1" applyFont="1" applyFill="1" applyBorder="1" applyAlignment="1" applyProtection="1">
      <alignment horizontal="center"/>
    </xf>
    <xf numFmtId="1" fontId="46" fillId="5" borderId="70" xfId="0" applyNumberFormat="1" applyFont="1" applyFill="1" applyBorder="1" applyAlignment="1" applyProtection="1">
      <alignment horizontal="center"/>
    </xf>
    <xf numFmtId="0" fontId="46" fillId="5" borderId="71" xfId="0" applyFont="1" applyFill="1" applyBorder="1" applyAlignment="1" applyProtection="1">
      <alignment horizontal="center"/>
    </xf>
    <xf numFmtId="1" fontId="46" fillId="5" borderId="72" xfId="0" applyNumberFormat="1" applyFont="1" applyFill="1" applyBorder="1" applyAlignment="1" applyProtection="1">
      <alignment horizontal="center"/>
    </xf>
    <xf numFmtId="3" fontId="46" fillId="5" borderId="72" xfId="0" applyNumberFormat="1" applyFont="1" applyFill="1" applyBorder="1" applyAlignment="1" applyProtection="1">
      <alignment horizontal="center"/>
    </xf>
    <xf numFmtId="1" fontId="46" fillId="5" borderId="73" xfId="0" applyNumberFormat="1" applyFont="1" applyFill="1" applyBorder="1" applyAlignment="1" applyProtection="1">
      <alignment horizontal="center"/>
    </xf>
    <xf numFmtId="0" fontId="46" fillId="5" borderId="74" xfId="0" applyFont="1" applyFill="1" applyBorder="1" applyAlignment="1" applyProtection="1">
      <alignment horizontal="center"/>
    </xf>
    <xf numFmtId="0" fontId="46" fillId="5" borderId="75" xfId="0" applyFont="1" applyFill="1" applyBorder="1" applyAlignment="1" applyProtection="1">
      <alignment horizontal="center"/>
    </xf>
    <xf numFmtId="3" fontId="46" fillId="5" borderId="75" xfId="0" applyNumberFormat="1" applyFont="1" applyFill="1" applyBorder="1" applyAlignment="1" applyProtection="1">
      <alignment horizontal="center"/>
    </xf>
    <xf numFmtId="0" fontId="46" fillId="5" borderId="76" xfId="0" applyFont="1" applyFill="1" applyBorder="1" applyAlignment="1" applyProtection="1">
      <alignment horizontal="center"/>
    </xf>
    <xf numFmtId="170" fontId="38" fillId="0" borderId="0" xfId="0" applyNumberFormat="1" applyFont="1" applyAlignment="1">
      <alignment horizontal="left"/>
    </xf>
    <xf numFmtId="0" fontId="27" fillId="0" borderId="17" xfId="0" applyNumberFormat="1" applyFont="1" applyFill="1" applyBorder="1" applyAlignment="1" applyProtection="1">
      <alignment horizontal="left" vertical="top" wrapText="1"/>
      <protection locked="0"/>
    </xf>
    <xf numFmtId="0" fontId="27" fillId="0" borderId="18" xfId="0" applyFont="1" applyBorder="1" applyAlignment="1" applyProtection="1">
      <protection locked="0"/>
    </xf>
    <xf numFmtId="0" fontId="27" fillId="0" borderId="19" xfId="0" applyFont="1" applyBorder="1" applyAlignment="1" applyProtection="1">
      <protection locked="0"/>
    </xf>
    <xf numFmtId="0" fontId="27" fillId="0" borderId="20" xfId="0" applyFont="1" applyBorder="1" applyAlignment="1" applyProtection="1">
      <protection locked="0"/>
    </xf>
    <xf numFmtId="0" fontId="27" fillId="0" borderId="0" xfId="0" applyFont="1" applyBorder="1" applyAlignment="1" applyProtection="1">
      <protection locked="0"/>
    </xf>
    <xf numFmtId="0" fontId="27" fillId="0" borderId="21" xfId="0" applyFont="1" applyBorder="1" applyAlignment="1" applyProtection="1">
      <protection locked="0"/>
    </xf>
    <xf numFmtId="0" fontId="27" fillId="0" borderId="22" xfId="0" applyFont="1" applyBorder="1" applyAlignment="1" applyProtection="1">
      <protection locked="0"/>
    </xf>
    <xf numFmtId="0" fontId="27" fillId="0" borderId="23" xfId="0" applyFont="1" applyBorder="1" applyAlignment="1" applyProtection="1">
      <protection locked="0"/>
    </xf>
    <xf numFmtId="0" fontId="27" fillId="0" borderId="24" xfId="0" applyFont="1" applyBorder="1" applyAlignment="1" applyProtection="1">
      <protection locked="0"/>
    </xf>
    <xf numFmtId="164" fontId="46" fillId="5" borderId="66" xfId="0" applyNumberFormat="1" applyFont="1" applyFill="1" applyBorder="1" applyAlignment="1">
      <alignment horizontal="center"/>
    </xf>
    <xf numFmtId="164" fontId="46" fillId="5" borderId="50" xfId="0" applyNumberFormat="1" applyFont="1" applyFill="1" applyBorder="1" applyAlignment="1">
      <alignment horizontal="center"/>
    </xf>
    <xf numFmtId="3" fontId="17" fillId="0" borderId="51" xfId="0" applyNumberFormat="1" applyFont="1" applyFill="1" applyBorder="1" applyAlignment="1" applyProtection="1">
      <alignment horizontal="center"/>
    </xf>
    <xf numFmtId="164" fontId="46" fillId="5" borderId="55" xfId="0" applyNumberFormat="1" applyFont="1" applyFill="1" applyBorder="1" applyAlignment="1">
      <alignment horizontal="left"/>
    </xf>
    <xf numFmtId="164" fontId="46" fillId="5" borderId="56" xfId="0" applyNumberFormat="1" applyFont="1" applyFill="1" applyBorder="1" applyAlignment="1">
      <alignment horizontal="left"/>
    </xf>
    <xf numFmtId="164" fontId="28" fillId="5" borderId="17" xfId="0" applyNumberFormat="1" applyFont="1" applyFill="1" applyBorder="1" applyAlignment="1">
      <alignment horizontal="left"/>
    </xf>
    <xf numFmtId="164" fontId="28" fillId="5" borderId="19" xfId="0" applyNumberFormat="1" applyFont="1" applyFill="1" applyBorder="1" applyAlignment="1">
      <alignment horizontal="left"/>
    </xf>
    <xf numFmtId="164" fontId="46" fillId="5" borderId="67" xfId="0" applyNumberFormat="1" applyFont="1" applyFill="1" applyBorder="1" applyAlignment="1">
      <alignment horizontal="center"/>
    </xf>
    <xf numFmtId="164" fontId="46" fillId="5" borderId="56" xfId="0" applyNumberFormat="1" applyFont="1" applyFill="1" applyBorder="1" applyAlignment="1">
      <alignment horizontal="center"/>
    </xf>
    <xf numFmtId="167" fontId="17" fillId="0" borderId="57" xfId="0" applyNumberFormat="1" applyFont="1" applyFill="1" applyBorder="1" applyAlignment="1" applyProtection="1">
      <alignment horizontal="center"/>
    </xf>
    <xf numFmtId="164" fontId="46" fillId="5" borderId="49" xfId="0" applyNumberFormat="1" applyFont="1" applyFill="1" applyBorder="1" applyAlignment="1">
      <alignment horizontal="left"/>
    </xf>
    <xf numFmtId="164" fontId="46" fillId="5" borderId="50" xfId="0" applyNumberFormat="1" applyFont="1" applyFill="1" applyBorder="1" applyAlignment="1">
      <alignment horizontal="left"/>
    </xf>
    <xf numFmtId="164" fontId="46" fillId="5" borderId="65" xfId="0" applyNumberFormat="1" applyFont="1" applyFill="1" applyBorder="1" applyAlignment="1">
      <alignment horizontal="center"/>
    </xf>
    <xf numFmtId="164" fontId="46" fillId="5" borderId="63" xfId="0" applyNumberFormat="1" applyFont="1" applyFill="1" applyBorder="1" applyAlignment="1">
      <alignment horizontal="center"/>
    </xf>
    <xf numFmtId="0" fontId="17" fillId="0" borderId="51" xfId="0" applyNumberFormat="1" applyFont="1" applyFill="1" applyBorder="1" applyAlignment="1" applyProtection="1">
      <alignment horizontal="center"/>
      <protection locked="0"/>
    </xf>
    <xf numFmtId="0" fontId="17" fillId="0" borderId="50" xfId="0" applyNumberFormat="1" applyFont="1" applyFill="1" applyBorder="1" applyAlignment="1" applyProtection="1">
      <alignment horizontal="center"/>
      <protection locked="0"/>
    </xf>
    <xf numFmtId="0" fontId="17" fillId="0" borderId="52" xfId="0" applyNumberFormat="1" applyFont="1" applyFill="1" applyBorder="1" applyAlignment="1" applyProtection="1">
      <alignment horizontal="center"/>
      <protection locked="0"/>
    </xf>
    <xf numFmtId="0" fontId="17" fillId="0" borderId="53" xfId="0" applyNumberFormat="1" applyFont="1" applyFill="1" applyBorder="1" applyAlignment="1" applyProtection="1">
      <alignment horizontal="center"/>
      <protection locked="0"/>
    </xf>
    <xf numFmtId="0" fontId="17" fillId="0" borderId="54" xfId="0" applyNumberFormat="1" applyFont="1" applyFill="1" applyBorder="1" applyAlignment="1" applyProtection="1">
      <alignment horizontal="center"/>
      <protection locked="0"/>
    </xf>
    <xf numFmtId="164" fontId="31" fillId="5" borderId="61" xfId="0" applyNumberFormat="1" applyFont="1" applyFill="1" applyBorder="1" applyAlignment="1">
      <alignment horizontal="center"/>
    </xf>
    <xf numFmtId="164" fontId="31" fillId="5" borderId="24" xfId="0" applyNumberFormat="1" applyFont="1" applyFill="1" applyBorder="1" applyAlignment="1">
      <alignment horizontal="center"/>
    </xf>
    <xf numFmtId="165" fontId="17" fillId="0" borderId="57" xfId="0" applyNumberFormat="1" applyFont="1" applyFill="1" applyBorder="1" applyAlignment="1" applyProtection="1">
      <alignment horizontal="center"/>
      <protection locked="0"/>
    </xf>
    <xf numFmtId="165" fontId="17" fillId="0" borderId="58" xfId="0" applyNumberFormat="1" applyFont="1" applyFill="1" applyBorder="1" applyAlignment="1" applyProtection="1">
      <alignment horizontal="center"/>
      <protection locked="0"/>
    </xf>
    <xf numFmtId="3" fontId="17" fillId="0" borderId="64" xfId="0" applyNumberFormat="1" applyFont="1" applyFill="1" applyBorder="1" applyAlignment="1" applyProtection="1">
      <alignment horizontal="center"/>
    </xf>
    <xf numFmtId="164" fontId="31" fillId="5" borderId="59" xfId="0" applyNumberFormat="1" applyFont="1" applyFill="1" applyBorder="1" applyAlignment="1">
      <alignment horizontal="center"/>
    </xf>
    <xf numFmtId="164" fontId="31" fillId="5" borderId="60" xfId="0" applyNumberFormat="1" applyFont="1" applyFill="1" applyBorder="1" applyAlignment="1">
      <alignment horizontal="center"/>
    </xf>
    <xf numFmtId="3" fontId="17" fillId="0" borderId="51" xfId="0" applyNumberFormat="1" applyFont="1" applyFill="1" applyBorder="1" applyAlignment="1" applyProtection="1">
      <alignment horizontal="center"/>
      <protection locked="0"/>
    </xf>
    <xf numFmtId="3" fontId="17" fillId="0" borderId="52" xfId="0" applyNumberFormat="1" applyFont="1" applyFill="1" applyBorder="1" applyAlignment="1" applyProtection="1">
      <alignment horizontal="center"/>
      <protection locked="0"/>
    </xf>
    <xf numFmtId="0" fontId="25" fillId="0" borderId="0" xfId="0" applyFont="1" applyFill="1" applyAlignment="1" applyProtection="1">
      <alignment horizontal="center"/>
    </xf>
    <xf numFmtId="0" fontId="17" fillId="0" borderId="46" xfId="0" applyNumberFormat="1" applyFont="1" applyFill="1" applyBorder="1" applyAlignment="1" applyProtection="1">
      <alignment horizontal="center"/>
      <protection locked="0"/>
    </xf>
    <xf numFmtId="0" fontId="17" fillId="0" borderId="47" xfId="0" applyNumberFormat="1" applyFont="1" applyFill="1" applyBorder="1" applyAlignment="1" applyProtection="1">
      <alignment horizontal="center"/>
      <protection locked="0"/>
    </xf>
    <xf numFmtId="0" fontId="17" fillId="0" borderId="48" xfId="0" applyNumberFormat="1" applyFont="1" applyFill="1" applyBorder="1" applyAlignment="1" applyProtection="1">
      <alignment horizontal="center"/>
      <protection locked="0"/>
    </xf>
    <xf numFmtId="1" fontId="44" fillId="0" borderId="0" xfId="0" applyNumberFormat="1" applyFont="1" applyFill="1" applyAlignment="1" applyProtection="1">
      <alignment horizontal="center"/>
    </xf>
    <xf numFmtId="0" fontId="23" fillId="0" borderId="0" xfId="0" applyFont="1" applyFill="1" applyBorder="1" applyAlignment="1" applyProtection="1">
      <alignment horizontal="center"/>
    </xf>
    <xf numFmtId="1" fontId="22" fillId="0" borderId="0" xfId="0" applyNumberFormat="1" applyFont="1" applyFill="1" applyAlignment="1" applyProtection="1">
      <alignment horizontal="center"/>
    </xf>
    <xf numFmtId="164" fontId="46" fillId="5" borderId="17" xfId="0" applyNumberFormat="1" applyFont="1" applyFill="1" applyBorder="1" applyAlignment="1">
      <alignment horizontal="left"/>
    </xf>
    <xf numFmtId="164" fontId="46" fillId="5" borderId="19" xfId="0" applyNumberFormat="1" applyFont="1" applyFill="1" applyBorder="1" applyAlignment="1">
      <alignment horizontal="left"/>
    </xf>
    <xf numFmtId="14" fontId="17" fillId="0" borderId="51" xfId="0" applyNumberFormat="1" applyFont="1" applyFill="1" applyBorder="1" applyAlignment="1" applyProtection="1">
      <alignment horizontal="center"/>
      <protection locked="0"/>
    </xf>
    <xf numFmtId="20" fontId="17" fillId="0" borderId="51" xfId="0" applyNumberFormat="1" applyFont="1" applyFill="1" applyBorder="1" applyAlignment="1" applyProtection="1">
      <alignment horizontal="center"/>
      <protection locked="0"/>
    </xf>
    <xf numFmtId="20" fontId="17" fillId="0" borderId="50" xfId="0" applyNumberFormat="1" applyFont="1" applyFill="1" applyBorder="1" applyAlignment="1" applyProtection="1">
      <alignment horizontal="center"/>
      <protection locked="0"/>
    </xf>
    <xf numFmtId="164" fontId="46" fillId="5" borderId="62" xfId="0" applyNumberFormat="1" applyFont="1" applyFill="1" applyBorder="1" applyAlignment="1">
      <alignment horizontal="left"/>
    </xf>
    <xf numFmtId="164" fontId="46" fillId="5" borderId="63" xfId="0" applyNumberFormat="1" applyFont="1" applyFill="1" applyBorder="1" applyAlignment="1">
      <alignment horizontal="left"/>
    </xf>
    <xf numFmtId="165" fontId="17" fillId="0" borderId="51" xfId="0" applyNumberFormat="1" applyFont="1" applyFill="1" applyBorder="1" applyAlignment="1" applyProtection="1">
      <alignment horizontal="center"/>
    </xf>
    <xf numFmtId="0" fontId="39" fillId="4" borderId="3" xfId="0" applyFont="1" applyFill="1" applyBorder="1" applyAlignment="1">
      <alignment horizontal="left" vertical="top" wrapText="1"/>
    </xf>
    <xf numFmtId="0" fontId="39" fillId="4" borderId="0" xfId="0" applyFont="1" applyFill="1" applyBorder="1" applyAlignment="1">
      <alignment horizontal="left" vertical="top" wrapText="1"/>
    </xf>
    <xf numFmtId="0" fontId="39" fillId="4" borderId="4" xfId="0" applyFont="1" applyFill="1" applyBorder="1" applyAlignment="1">
      <alignment horizontal="left" vertical="top" wrapText="1"/>
    </xf>
    <xf numFmtId="0" fontId="39" fillId="4" borderId="6" xfId="0" applyFont="1" applyFill="1" applyBorder="1" applyAlignment="1">
      <alignment horizontal="left" vertical="top" wrapText="1"/>
    </xf>
    <xf numFmtId="0" fontId="39" fillId="4" borderId="5" xfId="0" applyFont="1" applyFill="1" applyBorder="1" applyAlignment="1">
      <alignment horizontal="left" vertical="top" wrapText="1"/>
    </xf>
    <xf numFmtId="0" fontId="39" fillId="4" borderId="7" xfId="0" applyFont="1" applyFill="1" applyBorder="1" applyAlignment="1">
      <alignment horizontal="left" vertical="top" wrapText="1"/>
    </xf>
    <xf numFmtId="0" fontId="44" fillId="0" borderId="0" xfId="0" applyFont="1" applyAlignment="1">
      <alignment horizontal="center"/>
    </xf>
    <xf numFmtId="0" fontId="41" fillId="5" borderId="15" xfId="0" applyFont="1" applyFill="1" applyBorder="1" applyAlignment="1">
      <alignment horizontal="center"/>
    </xf>
    <xf numFmtId="0" fontId="41" fillId="5" borderId="26" xfId="0" applyFont="1" applyFill="1" applyBorder="1" applyAlignment="1">
      <alignment horizontal="center"/>
    </xf>
    <xf numFmtId="3" fontId="17" fillId="0" borderId="12" xfId="0" applyNumberFormat="1" applyFont="1" applyFill="1" applyBorder="1" applyAlignment="1">
      <alignment horizontal="center"/>
    </xf>
    <xf numFmtId="169" fontId="33" fillId="5" borderId="77" xfId="9" applyNumberFormat="1" applyFont="1" applyFill="1" applyBorder="1" applyAlignment="1">
      <alignment horizontal="center" vertical="center" wrapText="1"/>
    </xf>
    <xf numFmtId="169" fontId="33" fillId="5" borderId="78" xfId="9" applyNumberFormat="1" applyFont="1" applyFill="1" applyBorder="1" applyAlignment="1">
      <alignment horizontal="center" vertical="center"/>
    </xf>
    <xf numFmtId="0" fontId="33" fillId="5" borderId="45" xfId="9" applyFont="1" applyFill="1" applyBorder="1" applyAlignment="1">
      <alignment horizontal="center"/>
    </xf>
    <xf numFmtId="0" fontId="33" fillId="5" borderId="16" xfId="9" applyFont="1" applyFill="1" applyBorder="1" applyAlignment="1">
      <alignment horizontal="center"/>
    </xf>
    <xf numFmtId="0" fontId="33" fillId="5" borderId="2" xfId="9" applyFont="1" applyFill="1" applyBorder="1" applyAlignment="1">
      <alignment horizontal="center"/>
    </xf>
    <xf numFmtId="0" fontId="11" fillId="3" borderId="0" xfId="0" applyFont="1" applyFill="1" applyBorder="1" applyAlignment="1">
      <alignment horizontal="center"/>
    </xf>
  </cellXfs>
  <cellStyles count="11">
    <cellStyle name="Comma0" xfId="1"/>
    <cellStyle name="Currency0" xfId="2"/>
    <cellStyle name="Date" xfId="3"/>
    <cellStyle name="Fixed" xfId="4"/>
    <cellStyle name="Heading 1" xfId="5" builtinId="16" customBuiltin="1"/>
    <cellStyle name="Heading 2" xfId="6" builtinId="17" customBuiltin="1"/>
    <cellStyle name="Normal" xfId="0" builtinId="0"/>
    <cellStyle name="Normal_Avonmouth Effluent Plant Snagging" xfId="7"/>
    <cellStyle name="Normal_Pipe Flow Rates" xfId="8"/>
    <cellStyle name="Normal_Severnside Daily Effluent 2008-09" xfId="9"/>
    <cellStyle name="Total" xfId="10" builtinId="25"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400" baseline="0"/>
            </a:pPr>
            <a:r>
              <a:rPr lang="en-GB" sz="1400" baseline="0"/>
              <a:t>Profile of Clean</a:t>
            </a:r>
          </a:p>
        </c:rich>
      </c:tx>
      <c:layout>
        <c:manualLayout>
          <c:xMode val="edge"/>
          <c:yMode val="edge"/>
          <c:x val="0.37867685656939942"/>
          <c:y val="2.6315789473684216E-2"/>
        </c:manualLayout>
      </c:layout>
      <c:spPr>
        <a:noFill/>
        <a:ln w="25400">
          <a:noFill/>
        </a:ln>
      </c:spPr>
    </c:title>
    <c:plotArea>
      <c:layout>
        <c:manualLayout>
          <c:layoutTarget val="inner"/>
          <c:xMode val="edge"/>
          <c:yMode val="edge"/>
          <c:x val="0.1305148230293032"/>
          <c:y val="0.13875614294742375"/>
          <c:w val="0.73897125151802856"/>
          <c:h val="0.70574245119810286"/>
        </c:manualLayout>
      </c:layout>
      <c:scatterChart>
        <c:scatterStyle val="lineMarker"/>
        <c:ser>
          <c:idx val="0"/>
          <c:order val="0"/>
          <c:tx>
            <c:v>% Product</c:v>
          </c:tx>
          <c:spPr>
            <a:ln w="22225">
              <a:solidFill>
                <a:srgbClr val="FF0000"/>
              </a:solidFill>
              <a:prstDash val="solid"/>
            </a:ln>
          </c:spPr>
          <c:marker>
            <c:symbol val="diamond"/>
            <c:size val="7"/>
            <c:spPr>
              <a:noFill/>
              <a:ln>
                <a:solidFill>
                  <a:srgbClr val="FF0000"/>
                </a:solidFill>
                <a:prstDash val="solid"/>
              </a:ln>
            </c:spPr>
          </c:marker>
          <c:xVal>
            <c:numRef>
              <c:f>Data!$B$8:$B$44</c:f>
              <c:numCache>
                <c:formatCode>0</c:formatCode>
                <c:ptCount val="37"/>
                <c:pt idx="0">
                  <c:v>0</c:v>
                </c:pt>
                <c:pt idx="1">
                  <c:v>5</c:v>
                </c:pt>
                <c:pt idx="2">
                  <c:v>10</c:v>
                </c:pt>
                <c:pt idx="3">
                  <c:v>15</c:v>
                </c:pt>
                <c:pt idx="4" formatCode="General">
                  <c:v>20</c:v>
                </c:pt>
                <c:pt idx="5">
                  <c:v>25</c:v>
                </c:pt>
                <c:pt idx="6">
                  <c:v>35</c:v>
                </c:pt>
                <c:pt idx="7">
                  <c:v>45</c:v>
                </c:pt>
                <c:pt idx="8">
                  <c:v>46</c:v>
                </c:pt>
              </c:numCache>
            </c:numRef>
          </c:xVal>
          <c:yVal>
            <c:numRef>
              <c:f>Data!$AA$8:$AA$44</c:f>
              <c:numCache>
                <c:formatCode>0%</c:formatCode>
                <c:ptCount val="37"/>
                <c:pt idx="0">
                  <c:v>0.95454545454545459</c:v>
                </c:pt>
                <c:pt idx="1">
                  <c:v>0.95454545454545459</c:v>
                </c:pt>
                <c:pt idx="2">
                  <c:v>0.86363636363636365</c:v>
                </c:pt>
                <c:pt idx="3">
                  <c:v>0.75</c:v>
                </c:pt>
                <c:pt idx="4">
                  <c:v>1.5454545454545455E-2</c:v>
                </c:pt>
                <c:pt idx="5">
                  <c:v>1.5709090909090909E-2</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yVal>
        </c:ser>
        <c:axId val="68911104"/>
        <c:axId val="68913408"/>
      </c:scatterChart>
      <c:scatterChart>
        <c:scatterStyle val="lineMarker"/>
        <c:ser>
          <c:idx val="1"/>
          <c:order val="1"/>
          <c:tx>
            <c:v>Flow</c:v>
          </c:tx>
          <c:spPr>
            <a:ln w="22225">
              <a:solidFill>
                <a:srgbClr val="0000FF"/>
              </a:solidFill>
              <a:prstDash val="solid"/>
            </a:ln>
          </c:spPr>
          <c:marker>
            <c:symbol val="none"/>
          </c:marker>
          <c:xVal>
            <c:numRef>
              <c:f>Data!$B$8:$B$44</c:f>
              <c:numCache>
                <c:formatCode>0</c:formatCode>
                <c:ptCount val="37"/>
                <c:pt idx="0">
                  <c:v>0</c:v>
                </c:pt>
                <c:pt idx="1">
                  <c:v>5</c:v>
                </c:pt>
                <c:pt idx="2">
                  <c:v>10</c:v>
                </c:pt>
                <c:pt idx="3">
                  <c:v>15</c:v>
                </c:pt>
                <c:pt idx="4" formatCode="General">
                  <c:v>20</c:v>
                </c:pt>
                <c:pt idx="5">
                  <c:v>25</c:v>
                </c:pt>
                <c:pt idx="6">
                  <c:v>35</c:v>
                </c:pt>
                <c:pt idx="7">
                  <c:v>45</c:v>
                </c:pt>
                <c:pt idx="8">
                  <c:v>46</c:v>
                </c:pt>
              </c:numCache>
            </c:numRef>
          </c:xVal>
          <c:yVal>
            <c:numRef>
              <c:f>Data!$D$8:$D$44</c:f>
              <c:numCache>
                <c:formatCode>0.0</c:formatCode>
                <c:ptCount val="37"/>
                <c:pt idx="0">
                  <c:v>8</c:v>
                </c:pt>
                <c:pt idx="1">
                  <c:v>8</c:v>
                </c:pt>
                <c:pt idx="2">
                  <c:v>8</c:v>
                </c:pt>
                <c:pt idx="3">
                  <c:v>8</c:v>
                </c:pt>
                <c:pt idx="4">
                  <c:v>8</c:v>
                </c:pt>
                <c:pt idx="5">
                  <c:v>8</c:v>
                </c:pt>
                <c:pt idx="6">
                  <c:v>8</c:v>
                </c:pt>
                <c:pt idx="7">
                  <c:v>8</c:v>
                </c:pt>
                <c:pt idx="8">
                  <c:v>0</c:v>
                </c:pt>
              </c:numCache>
            </c:numRef>
          </c:yVal>
        </c:ser>
        <c:axId val="68092288"/>
        <c:axId val="68093824"/>
      </c:scatterChart>
      <c:valAx>
        <c:axId val="68911104"/>
        <c:scaling>
          <c:orientation val="minMax"/>
        </c:scaling>
        <c:axPos val="b"/>
        <c:title>
          <c:tx>
            <c:rich>
              <a:bodyPr/>
              <a:lstStyle/>
              <a:p>
                <a:pPr>
                  <a:defRPr sz="1200" baseline="0"/>
                </a:pPr>
                <a:r>
                  <a:rPr lang="en-GB" sz="1200" baseline="0"/>
                  <a:t>Time from Start of Sequence (secs)</a:t>
                </a:r>
              </a:p>
            </c:rich>
          </c:tx>
          <c:layout>
            <c:manualLayout>
              <c:xMode val="edge"/>
              <c:yMode val="edge"/>
              <c:x val="0.25015284854099079"/>
              <c:y val="0.90750053372515038"/>
            </c:manualLayout>
          </c:layout>
          <c:spPr>
            <a:noFill/>
            <a:ln w="25400">
              <a:noFill/>
            </a:ln>
          </c:spPr>
        </c:title>
        <c:numFmt formatCode="0" sourceLinked="1"/>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68913408"/>
        <c:crosses val="autoZero"/>
        <c:crossBetween val="midCat"/>
      </c:valAx>
      <c:valAx>
        <c:axId val="68913408"/>
        <c:scaling>
          <c:orientation val="minMax"/>
          <c:max val="1"/>
        </c:scaling>
        <c:axPos val="l"/>
        <c:majorGridlines>
          <c:spPr>
            <a:ln w="3175">
              <a:solidFill>
                <a:srgbClr val="000000"/>
              </a:solidFill>
              <a:prstDash val="solid"/>
            </a:ln>
          </c:spPr>
        </c:majorGridlines>
        <c:title>
          <c:tx>
            <c:rich>
              <a:bodyPr/>
              <a:lstStyle/>
              <a:p>
                <a:pPr>
                  <a:defRPr sz="1200" baseline="0"/>
                </a:pPr>
                <a:r>
                  <a:rPr lang="en-GB" sz="1200" baseline="0"/>
                  <a:t>% Product</a:t>
                </a:r>
              </a:p>
            </c:rich>
          </c:tx>
          <c:layout>
            <c:manualLayout>
              <c:xMode val="edge"/>
              <c:yMode val="edge"/>
              <c:x val="9.1911764705882512E-3"/>
              <c:y val="0.41387610041567835"/>
            </c:manualLayout>
          </c:layout>
          <c:spPr>
            <a:noFill/>
            <a:ln w="25400">
              <a:noFill/>
            </a:ln>
          </c:spPr>
        </c:title>
        <c:numFmt formatCode="0%" sourceLinked="1"/>
        <c:tickLblPos val="nextTo"/>
        <c:spPr>
          <a:ln w="3175">
            <a:solidFill>
              <a:srgbClr val="000000"/>
            </a:solidFill>
            <a:prstDash val="solid"/>
          </a:ln>
        </c:spPr>
        <c:txPr>
          <a:bodyPr rot="0" vert="horz"/>
          <a:lstStyle/>
          <a:p>
            <a:pPr>
              <a:defRPr sz="1200" baseline="0"/>
            </a:pPr>
            <a:endParaRPr lang="en-US"/>
          </a:p>
        </c:txPr>
        <c:crossAx val="68911104"/>
        <c:crosses val="autoZero"/>
        <c:crossBetween val="midCat"/>
        <c:majorUnit val="0.2"/>
      </c:valAx>
      <c:valAx>
        <c:axId val="68092288"/>
        <c:scaling>
          <c:orientation val="minMax"/>
        </c:scaling>
        <c:delete val="1"/>
        <c:axPos val="b"/>
        <c:numFmt formatCode="0" sourceLinked="1"/>
        <c:tickLblPos val="none"/>
        <c:crossAx val="68093824"/>
        <c:crosses val="autoZero"/>
        <c:crossBetween val="midCat"/>
      </c:valAx>
      <c:valAx>
        <c:axId val="68093824"/>
        <c:scaling>
          <c:orientation val="minMax"/>
        </c:scaling>
        <c:axPos val="r"/>
        <c:title>
          <c:tx>
            <c:rich>
              <a:bodyPr/>
              <a:lstStyle/>
              <a:p>
                <a:pPr>
                  <a:defRPr sz="1200" baseline="0"/>
                </a:pPr>
                <a:r>
                  <a:rPr lang="en-GB" sz="1200" baseline="0"/>
                  <a:t>Flow (l/s)</a:t>
                </a:r>
              </a:p>
            </c:rich>
          </c:tx>
          <c:layout>
            <c:manualLayout>
              <c:xMode val="edge"/>
              <c:yMode val="edge"/>
              <c:x val="0.93440308012968976"/>
              <c:y val="0.42344547840610824"/>
            </c:manualLayout>
          </c:layout>
          <c:spPr>
            <a:noFill/>
            <a:ln w="25400">
              <a:noFill/>
            </a:ln>
          </c:spPr>
        </c:title>
        <c:numFmt formatCode="0.0" sourceLinked="1"/>
        <c:majorTickMark val="cross"/>
        <c:tickLblPos val="nextTo"/>
        <c:spPr>
          <a:ln w="3175">
            <a:solidFill>
              <a:srgbClr val="000000"/>
            </a:solidFill>
            <a:prstDash val="solid"/>
          </a:ln>
        </c:spPr>
        <c:txPr>
          <a:bodyPr rot="0" vert="horz"/>
          <a:lstStyle/>
          <a:p>
            <a:pPr>
              <a:defRPr sz="1200" baseline="0"/>
            </a:pPr>
            <a:endParaRPr lang="en-US"/>
          </a:p>
        </c:txPr>
        <c:crossAx val="68092288"/>
        <c:crosses val="max"/>
        <c:crossBetween val="midCat"/>
      </c:valAx>
      <c:spPr>
        <a:solidFill>
          <a:srgbClr val="FFFFFF"/>
        </a:solidFill>
        <a:ln w="12700">
          <a:solidFill>
            <a:srgbClr val="000000"/>
          </a:solidFill>
          <a:prstDash val="solid"/>
        </a:ln>
      </c:spPr>
    </c:plotArea>
    <c:legend>
      <c:legendPos val="r"/>
      <c:layout>
        <c:manualLayout>
          <c:xMode val="edge"/>
          <c:yMode val="edge"/>
          <c:x val="0.67830940250116012"/>
          <c:y val="0.89952253575958507"/>
          <c:w val="0.21507372240234679"/>
          <c:h val="8.6124401913875728E-2"/>
        </c:manualLayout>
      </c:layout>
      <c:spPr>
        <a:solidFill>
          <a:srgbClr val="FFFFFF"/>
        </a:solidFill>
        <a:ln w="25400">
          <a:noFill/>
        </a:ln>
      </c:spPr>
      <c:txPr>
        <a:bodyPr/>
        <a:lstStyle/>
        <a:p>
          <a:pPr>
            <a:defRPr baseline="0"/>
          </a:pPr>
          <a:endParaRPr lang="en-US"/>
        </a:p>
      </c:txPr>
    </c:legend>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Calibri" pitchFamily="34" charset="0"/>
          <a:ea typeface="Arial"/>
          <a:cs typeface="Arial"/>
        </a:defRPr>
      </a:pPr>
      <a:endParaRPr lang="en-US"/>
    </a:p>
  </c:txPr>
  <c:printSettings>
    <c:headerFooter alignWithMargins="0"/>
    <c:pageMargins b="1" l="0.75000000000000111" r="0.75000000000000111" t="1" header="0.5" footer="0.5"/>
    <c:pageSetup paperSize="8" orientation="landscape" horizontalDpi="300" verticalDpi="300"/>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649817</xdr:colOff>
      <xdr:row>0</xdr:row>
      <xdr:rowOff>105343</xdr:rowOff>
    </xdr:from>
    <xdr:to>
      <xdr:col>14</xdr:col>
      <xdr:colOff>31750</xdr:colOff>
      <xdr:row>6</xdr:row>
      <xdr:rowOff>195791</xdr:rowOff>
    </xdr:to>
    <xdr:pic>
      <xdr:nvPicPr>
        <xdr:cNvPr id="3093" name="Picture 19"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317317" y="105343"/>
          <a:ext cx="1509183" cy="169911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238125</xdr:colOff>
      <xdr:row>20</xdr:row>
      <xdr:rowOff>0</xdr:rowOff>
    </xdr:from>
    <xdr:to>
      <xdr:col>8</xdr:col>
      <xdr:colOff>590550</xdr:colOff>
      <xdr:row>40</xdr:row>
      <xdr:rowOff>152400</xdr:rowOff>
    </xdr:to>
    <xdr:graphicFrame macro="">
      <xdr:nvGraphicFramePr>
        <xdr:cNvPr id="1127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152400</xdr:colOff>
      <xdr:row>20</xdr:row>
      <xdr:rowOff>114300</xdr:rowOff>
    </xdr:from>
    <xdr:to>
      <xdr:col>8</xdr:col>
      <xdr:colOff>476250</xdr:colOff>
      <xdr:row>22</xdr:row>
      <xdr:rowOff>47625</xdr:rowOff>
    </xdr:to>
    <xdr:pic>
      <xdr:nvPicPr>
        <xdr:cNvPr id="11276" name="Picture 10" descr="logo"/>
        <xdr:cNvPicPr>
          <a:picLocks noChangeAspect="1" noChangeArrowheads="1"/>
        </xdr:cNvPicPr>
      </xdr:nvPicPr>
      <xdr:blipFill>
        <a:blip xmlns:r="http://schemas.openxmlformats.org/officeDocument/2006/relationships" r:embed="rId2" cstate="print"/>
        <a:srcRect/>
        <a:stretch>
          <a:fillRect/>
        </a:stretch>
      </xdr:blipFill>
      <xdr:spPr bwMode="auto">
        <a:xfrm>
          <a:off x="5181600" y="4114800"/>
          <a:ext cx="323850" cy="3143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ntrol" Target="../activeX/activeX10.xml"/><Relationship Id="rId4" Type="http://schemas.openxmlformats.org/officeDocument/2006/relationships/control" Target="../activeX/activeX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3">
    <pageSetUpPr fitToPage="1"/>
  </sheetPr>
  <dimension ref="A1:BG1080"/>
  <sheetViews>
    <sheetView showGridLines="0" tabSelected="1" zoomScale="90" workbookViewId="0">
      <pane ySplit="7" topLeftCell="A8" activePane="bottomLeft" state="frozen"/>
      <selection pane="bottomLeft" activeCell="H9" sqref="H9:K9"/>
    </sheetView>
  </sheetViews>
  <sheetFormatPr defaultColWidth="8" defaultRowHeight="15.75"/>
  <cols>
    <col min="1" max="1" width="9" style="122" customWidth="1"/>
    <col min="2" max="2" width="8.375" style="123" customWidth="1"/>
    <col min="3" max="3" width="10.625" style="124" customWidth="1"/>
    <col min="4" max="4" width="7.5" style="123" customWidth="1"/>
    <col min="5" max="5" width="5.875" style="95" customWidth="1"/>
    <col min="6" max="6" width="7.875" style="95" customWidth="1"/>
    <col min="7" max="7" width="14.5" style="95" customWidth="1"/>
    <col min="8" max="10" width="7.875" style="95" customWidth="1"/>
    <col min="11" max="11" width="9.5" style="95" customWidth="1"/>
    <col min="12" max="12" width="7.875" style="95" customWidth="1"/>
    <col min="13" max="13" width="5.25" style="95" customWidth="1"/>
    <col min="14" max="14" width="5.25" style="95" bestFit="1" customWidth="1"/>
    <col min="15" max="26" width="6.5" style="95" customWidth="1"/>
    <col min="27" max="27" width="9.125" style="95" customWidth="1"/>
    <col min="28" max="28" width="8.875" style="95" customWidth="1"/>
    <col min="29" max="29" width="7.625" style="95" customWidth="1"/>
    <col min="30" max="31" width="8" style="95" customWidth="1"/>
    <col min="32" max="16384" width="8" style="95"/>
  </cols>
  <sheetData>
    <row r="1" spans="1:59" s="84" customFormat="1">
      <c r="A1" s="125"/>
      <c r="B1" s="126"/>
      <c r="C1" s="127"/>
      <c r="D1" s="126"/>
      <c r="E1" s="128"/>
      <c r="F1" s="128"/>
      <c r="G1" s="128"/>
      <c r="H1" s="128"/>
      <c r="I1" s="128"/>
      <c r="J1" s="128"/>
      <c r="K1" s="128"/>
      <c r="L1" s="128"/>
      <c r="M1" s="128"/>
      <c r="N1" s="128"/>
      <c r="O1" s="128"/>
      <c r="P1" s="128"/>
      <c r="Q1" s="128"/>
      <c r="R1" s="128"/>
      <c r="S1" s="128"/>
      <c r="T1" s="128"/>
      <c r="U1" s="128"/>
      <c r="V1" s="128"/>
      <c r="W1" s="128"/>
      <c r="X1" s="128"/>
      <c r="Y1" s="128"/>
    </row>
    <row r="2" spans="1:59" s="84" customFormat="1" ht="26.25" customHeight="1">
      <c r="A2" s="125"/>
      <c r="B2" s="126"/>
      <c r="C2" s="268" t="s">
        <v>32</v>
      </c>
      <c r="D2" s="268"/>
      <c r="E2" s="134" t="s">
        <v>141</v>
      </c>
      <c r="F2" s="133"/>
      <c r="G2" s="133"/>
      <c r="H2" s="129"/>
      <c r="I2" s="129"/>
      <c r="J2" s="129"/>
      <c r="K2" s="128"/>
      <c r="L2" s="128"/>
      <c r="M2" s="128"/>
      <c r="N2" s="128"/>
      <c r="O2" s="128"/>
      <c r="P2" s="128"/>
      <c r="Q2" s="128"/>
      <c r="R2" s="128"/>
      <c r="S2" s="128"/>
      <c r="T2" s="128"/>
      <c r="U2" s="128"/>
      <c r="V2" s="128"/>
      <c r="W2" s="128"/>
      <c r="X2" s="128"/>
      <c r="Y2" s="128"/>
    </row>
    <row r="3" spans="1:59" s="84" customFormat="1">
      <c r="A3" s="125"/>
      <c r="B3" s="126"/>
      <c r="C3" s="127"/>
      <c r="D3" s="126"/>
      <c r="E3" s="128"/>
      <c r="F3" s="128"/>
      <c r="G3" s="128"/>
      <c r="H3" s="128"/>
      <c r="I3" s="128"/>
      <c r="J3" s="128"/>
      <c r="K3" s="128"/>
      <c r="L3" s="128"/>
      <c r="M3" s="128"/>
      <c r="N3" s="128"/>
      <c r="O3" s="128"/>
      <c r="P3" s="128"/>
      <c r="Q3" s="128"/>
      <c r="R3" s="128"/>
      <c r="S3" s="128"/>
      <c r="T3" s="128"/>
      <c r="U3" s="128"/>
      <c r="V3" s="128"/>
      <c r="W3" s="128"/>
      <c r="X3" s="128"/>
      <c r="Y3" s="128"/>
    </row>
    <row r="4" spans="1:59" s="84" customFormat="1" ht="16.5" thickBot="1">
      <c r="A4" s="125"/>
      <c r="B4" s="126"/>
      <c r="C4" s="127"/>
      <c r="D4" s="126"/>
      <c r="E4" s="128"/>
      <c r="F4" s="128"/>
      <c r="G4" s="128"/>
      <c r="H4" s="128"/>
      <c r="I4" s="128"/>
      <c r="J4" s="128"/>
      <c r="K4" s="128"/>
      <c r="L4" s="128"/>
      <c r="M4" s="128"/>
      <c r="N4" s="128"/>
      <c r="O4" s="128"/>
      <c r="P4" s="128"/>
      <c r="Q4" s="128"/>
      <c r="R4" s="128"/>
      <c r="S4" s="128"/>
      <c r="T4" s="128"/>
      <c r="U4" s="128"/>
      <c r="V4" s="128"/>
      <c r="W4" s="128"/>
      <c r="X4" s="128"/>
      <c r="Y4" s="128"/>
    </row>
    <row r="5" spans="1:59" s="84" customFormat="1" ht="34.5" thickTop="1">
      <c r="A5" s="218" t="s">
        <v>20</v>
      </c>
      <c r="B5" s="219" t="s">
        <v>22</v>
      </c>
      <c r="C5" s="220" t="s">
        <v>20</v>
      </c>
      <c r="D5" s="221" t="s">
        <v>23</v>
      </c>
      <c r="E5" s="130"/>
      <c r="F5" s="128"/>
      <c r="G5" s="131"/>
      <c r="H5" s="272" t="s">
        <v>140</v>
      </c>
      <c r="I5" s="272"/>
      <c r="J5" s="272"/>
      <c r="K5" s="272"/>
      <c r="L5" s="131"/>
      <c r="M5" s="131"/>
      <c r="N5" s="131"/>
      <c r="O5" s="131"/>
      <c r="P5" s="131"/>
      <c r="Q5" s="131"/>
      <c r="R5" s="131"/>
      <c r="S5" s="131"/>
      <c r="T5" s="131"/>
      <c r="U5" s="131"/>
      <c r="V5" s="131"/>
      <c r="W5" s="131"/>
      <c r="X5" s="131"/>
      <c r="Y5" s="131"/>
      <c r="Z5" s="85"/>
      <c r="AA5" s="86" t="s">
        <v>6</v>
      </c>
      <c r="AB5" s="87" t="s">
        <v>7</v>
      </c>
      <c r="AC5" s="87" t="s">
        <v>8</v>
      </c>
      <c r="AD5" s="88" t="s">
        <v>9</v>
      </c>
    </row>
    <row r="6" spans="1:59" s="84" customFormat="1" ht="17.25">
      <c r="A6" s="222" t="s">
        <v>21</v>
      </c>
      <c r="B6" s="223"/>
      <c r="C6" s="224" t="s">
        <v>10</v>
      </c>
      <c r="D6" s="225" t="s">
        <v>24</v>
      </c>
      <c r="E6" s="131"/>
      <c r="F6" s="131"/>
      <c r="G6" s="128"/>
      <c r="H6" s="274"/>
      <c r="I6" s="274"/>
      <c r="J6" s="274"/>
      <c r="K6" s="274"/>
      <c r="L6" s="131"/>
      <c r="M6" s="131"/>
      <c r="N6" s="131"/>
      <c r="O6" s="131"/>
      <c r="P6" s="131"/>
      <c r="Q6" s="131"/>
      <c r="R6" s="131"/>
      <c r="S6" s="131"/>
      <c r="T6" s="131"/>
      <c r="U6" s="131"/>
      <c r="V6" s="131"/>
      <c r="W6" s="131"/>
      <c r="X6" s="131"/>
      <c r="Y6" s="131"/>
      <c r="Z6" s="85"/>
      <c r="AA6" s="89" t="s">
        <v>11</v>
      </c>
      <c r="AB6" s="90" t="s">
        <v>5</v>
      </c>
      <c r="AC6" s="90" t="s">
        <v>12</v>
      </c>
      <c r="AD6" s="91" t="s">
        <v>12</v>
      </c>
    </row>
    <row r="7" spans="1:59" s="84" customFormat="1" ht="19.5" thickBot="1">
      <c r="A7" s="226"/>
      <c r="B7" s="227" t="s">
        <v>13</v>
      </c>
      <c r="C7" s="228" t="s">
        <v>29</v>
      </c>
      <c r="D7" s="229" t="s">
        <v>14</v>
      </c>
      <c r="E7" s="132"/>
      <c r="F7" s="128"/>
      <c r="G7" s="132"/>
      <c r="H7" s="273"/>
      <c r="I7" s="273"/>
      <c r="J7" s="273"/>
      <c r="K7" s="273"/>
      <c r="L7" s="132"/>
      <c r="M7" s="132"/>
      <c r="N7" s="132"/>
      <c r="O7" s="132"/>
      <c r="P7" s="132"/>
      <c r="Q7" s="132"/>
      <c r="R7" s="132"/>
      <c r="S7" s="132"/>
      <c r="T7" s="132"/>
      <c r="U7" s="132"/>
      <c r="V7" s="132"/>
      <c r="W7" s="132"/>
      <c r="X7" s="132"/>
      <c r="Y7" s="132"/>
      <c r="Z7" s="90"/>
      <c r="AA7" s="92"/>
      <c r="AB7" s="90" t="s">
        <v>15</v>
      </c>
      <c r="AC7" s="90" t="s">
        <v>16</v>
      </c>
      <c r="AD7" s="91" t="s">
        <v>16</v>
      </c>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row>
    <row r="8" spans="1:59" ht="16.5" thickBot="1">
      <c r="A8" s="149">
        <v>0</v>
      </c>
      <c r="B8" s="140">
        <v>0</v>
      </c>
      <c r="C8" s="137">
        <v>210000</v>
      </c>
      <c r="D8" s="141">
        <v>8</v>
      </c>
      <c r="E8" s="94"/>
      <c r="G8" s="96"/>
      <c r="H8" s="96"/>
      <c r="I8" s="96"/>
      <c r="J8" s="96"/>
      <c r="K8" s="96"/>
      <c r="L8" s="96"/>
      <c r="M8" s="96"/>
      <c r="N8" s="96"/>
      <c r="O8" s="96"/>
      <c r="P8" s="96"/>
      <c r="Q8" s="96"/>
      <c r="R8" s="96"/>
      <c r="S8" s="96"/>
      <c r="T8" s="96"/>
      <c r="U8" s="96"/>
      <c r="V8" s="96"/>
      <c r="W8" s="96"/>
      <c r="X8" s="96"/>
      <c r="Y8" s="96"/>
      <c r="Z8" s="96"/>
      <c r="AA8" s="97">
        <f>C8/$H$15</f>
        <v>0.95454545454545459</v>
      </c>
      <c r="AB8" s="98">
        <f>B8*D8</f>
        <v>0</v>
      </c>
      <c r="AC8" s="99">
        <f>AB8*C8/1000000</f>
        <v>0</v>
      </c>
      <c r="AD8" s="100">
        <f>AC8</f>
        <v>0</v>
      </c>
      <c r="AE8" s="101"/>
      <c r="AF8" s="101"/>
      <c r="AG8" s="101"/>
      <c r="AH8" s="101"/>
      <c r="AI8" s="101"/>
      <c r="AJ8" s="101"/>
      <c r="AK8" s="101"/>
      <c r="AL8" s="101"/>
      <c r="AM8" s="101"/>
      <c r="AN8" s="101"/>
      <c r="AO8" s="101"/>
    </row>
    <row r="9" spans="1:59" ht="16.5" customHeight="1" thickTop="1">
      <c r="A9" s="149">
        <f t="shared" ref="A9:A44" si="0">A8+1</f>
        <v>1</v>
      </c>
      <c r="B9" s="140">
        <v>5</v>
      </c>
      <c r="C9" s="137">
        <v>210000</v>
      </c>
      <c r="D9" s="141">
        <v>8</v>
      </c>
      <c r="E9" s="94"/>
      <c r="F9" s="275" t="s">
        <v>25</v>
      </c>
      <c r="G9" s="276"/>
      <c r="H9" s="269" t="s">
        <v>133</v>
      </c>
      <c r="I9" s="270"/>
      <c r="J9" s="270"/>
      <c r="K9" s="271"/>
      <c r="L9" s="94"/>
      <c r="M9" s="96"/>
      <c r="N9" s="96"/>
      <c r="O9" s="96"/>
      <c r="P9" s="96"/>
      <c r="Q9" s="96"/>
      <c r="R9" s="96"/>
      <c r="S9" s="96"/>
      <c r="T9" s="96"/>
      <c r="U9" s="96"/>
      <c r="V9" s="96"/>
      <c r="W9" s="96"/>
      <c r="X9" s="96"/>
      <c r="Y9" s="96"/>
      <c r="Z9" s="96"/>
      <c r="AA9" s="97">
        <f>IF(B9=0,"",+C9/$H$15)</f>
        <v>0.95454545454545459</v>
      </c>
      <c r="AB9" s="98">
        <f>IF(B9=0,"",+AB8+D9*(B9-B8))</f>
        <v>40</v>
      </c>
      <c r="AC9" s="99">
        <f>IF(B9=0,"",(AB9-AB8)*C9/1000000)</f>
        <v>8.4</v>
      </c>
      <c r="AD9" s="100">
        <f>IF(B9=0,"",+AD8+AC9)</f>
        <v>8.4</v>
      </c>
      <c r="AE9" s="101"/>
      <c r="AF9" s="101"/>
      <c r="AG9" s="101"/>
      <c r="AH9" s="101"/>
      <c r="AI9" s="101"/>
      <c r="AJ9" s="101"/>
      <c r="AK9" s="101"/>
      <c r="AL9" s="101"/>
      <c r="AM9" s="101"/>
      <c r="AN9" s="101"/>
      <c r="AO9" s="101"/>
    </row>
    <row r="10" spans="1:59" ht="17.25">
      <c r="A10" s="149">
        <f t="shared" si="0"/>
        <v>2</v>
      </c>
      <c r="B10" s="140">
        <v>10</v>
      </c>
      <c r="C10" s="137">
        <v>190000</v>
      </c>
      <c r="D10" s="141">
        <v>8</v>
      </c>
      <c r="E10" s="94"/>
      <c r="F10" s="250" t="s">
        <v>26</v>
      </c>
      <c r="G10" s="251"/>
      <c r="H10" s="277">
        <v>42097</v>
      </c>
      <c r="I10" s="254"/>
      <c r="J10" s="254"/>
      <c r="K10" s="255"/>
      <c r="L10" s="94"/>
      <c r="M10" s="96"/>
      <c r="N10" s="96"/>
      <c r="O10" s="96"/>
      <c r="P10" s="96"/>
      <c r="Q10" s="96"/>
      <c r="R10" s="96"/>
      <c r="S10" s="96"/>
      <c r="T10" s="96"/>
      <c r="U10" s="96"/>
      <c r="V10" s="96"/>
      <c r="W10" s="96"/>
      <c r="X10" s="96"/>
      <c r="Y10" s="96"/>
      <c r="Z10" s="96"/>
      <c r="AA10" s="97">
        <f>IF(B10=0,"",+C10/$H$15)</f>
        <v>0.86363636363636365</v>
      </c>
      <c r="AB10" s="98">
        <f>IF(B10=0,"",+AB9+D10*(B10-B9))</f>
        <v>80</v>
      </c>
      <c r="AC10" s="99">
        <f>IF(B10=0,"",(AB10-AB9)*C10/1000000)</f>
        <v>7.6</v>
      </c>
      <c r="AD10" s="100">
        <f>IF(B10=0,"",+AD9+AC10)</f>
        <v>16</v>
      </c>
      <c r="AE10" s="102"/>
      <c r="AF10" s="101"/>
      <c r="AG10" s="101"/>
      <c r="AH10" s="101"/>
      <c r="AI10" s="101"/>
      <c r="AJ10" s="101"/>
      <c r="AK10" s="101"/>
      <c r="AL10" s="101"/>
      <c r="AM10" s="101"/>
      <c r="AN10" s="101"/>
      <c r="AO10" s="101"/>
    </row>
    <row r="11" spans="1:59" ht="17.25">
      <c r="A11" s="149">
        <f t="shared" si="0"/>
        <v>3</v>
      </c>
      <c r="B11" s="140">
        <v>15</v>
      </c>
      <c r="C11" s="137">
        <v>189000</v>
      </c>
      <c r="D11" s="141">
        <v>8</v>
      </c>
      <c r="E11" s="94"/>
      <c r="F11" s="250" t="s">
        <v>27</v>
      </c>
      <c r="G11" s="251"/>
      <c r="H11" s="278">
        <v>0.53125</v>
      </c>
      <c r="I11" s="278"/>
      <c r="J11" s="278"/>
      <c r="K11" s="279"/>
      <c r="L11" s="94"/>
      <c r="M11" s="96"/>
      <c r="N11" s="96"/>
      <c r="O11" s="96"/>
      <c r="P11" s="96"/>
      <c r="Q11" s="96"/>
      <c r="R11" s="96"/>
      <c r="S11" s="96"/>
      <c r="T11" s="96"/>
      <c r="U11" s="96"/>
      <c r="V11" s="96"/>
      <c r="W11" s="96"/>
      <c r="X11" s="96"/>
      <c r="Y11" s="96"/>
      <c r="Z11" s="96"/>
      <c r="AA11" s="97">
        <f t="shared" ref="AA11:AA15" si="1">IF(B12=0,"",+C12/$H$15)</f>
        <v>0.75</v>
      </c>
      <c r="AB11" s="98">
        <f>IF(B12=0,"",+AB10+D12*(B12-B10))</f>
        <v>160</v>
      </c>
      <c r="AC11" s="99">
        <f t="shared" ref="AC11:AC15" si="2">IF(B12=0,"",(AB11-AB10)*C12/1000000)</f>
        <v>13.2</v>
      </c>
      <c r="AD11" s="100">
        <f t="shared" ref="AD11:AD15" si="3">IF(B12=0,"",+AD10+AC11)</f>
        <v>29.2</v>
      </c>
      <c r="AE11" s="102"/>
      <c r="AF11" s="101"/>
      <c r="AG11" s="101"/>
      <c r="AH11" s="101"/>
      <c r="AI11" s="101"/>
      <c r="AJ11" s="101"/>
      <c r="AK11" s="101"/>
      <c r="AL11" s="101"/>
      <c r="AM11" s="101"/>
      <c r="AN11" s="101"/>
      <c r="AO11" s="101"/>
    </row>
    <row r="12" spans="1:59" ht="16.5" customHeight="1">
      <c r="A12" s="149">
        <f t="shared" si="0"/>
        <v>4</v>
      </c>
      <c r="B12" s="136">
        <v>20</v>
      </c>
      <c r="C12" s="137">
        <v>165000</v>
      </c>
      <c r="D12" s="141">
        <v>8</v>
      </c>
      <c r="E12" s="94"/>
      <c r="F12" s="250" t="s">
        <v>28</v>
      </c>
      <c r="G12" s="251"/>
      <c r="H12" s="256" t="s">
        <v>134</v>
      </c>
      <c r="I12" s="257"/>
      <c r="J12" s="257"/>
      <c r="K12" s="258"/>
      <c r="L12" s="94"/>
      <c r="M12" s="96"/>
      <c r="N12" s="96"/>
      <c r="O12" s="96"/>
      <c r="P12" s="96"/>
      <c r="Q12" s="96"/>
      <c r="R12" s="96"/>
      <c r="S12" s="96"/>
      <c r="T12" s="96"/>
      <c r="U12" s="96"/>
      <c r="V12" s="96"/>
      <c r="W12" s="96"/>
      <c r="X12" s="96"/>
      <c r="Y12" s="96"/>
      <c r="Z12" s="96"/>
      <c r="AA12" s="97">
        <f t="shared" si="1"/>
        <v>1.5454545454545455E-2</v>
      </c>
      <c r="AB12" s="98">
        <f>IF(B13=0,"",+AB11+D13*(B13-B12))</f>
        <v>200</v>
      </c>
      <c r="AC12" s="99">
        <f t="shared" si="2"/>
        <v>0.13600000000000001</v>
      </c>
      <c r="AD12" s="100">
        <f t="shared" si="3"/>
        <v>29.335999999999999</v>
      </c>
      <c r="AE12" s="102"/>
      <c r="AF12" s="101"/>
      <c r="AG12" s="101"/>
      <c r="AH12" s="101"/>
      <c r="AI12" s="101"/>
      <c r="AJ12" s="101"/>
      <c r="AK12" s="101"/>
      <c r="AL12" s="101"/>
      <c r="AM12" s="101"/>
      <c r="AN12" s="101"/>
      <c r="AO12" s="101"/>
    </row>
    <row r="13" spans="1:59" ht="17.25">
      <c r="A13" s="149">
        <f t="shared" si="0"/>
        <v>5</v>
      </c>
      <c r="B13" s="140">
        <v>25</v>
      </c>
      <c r="C13" s="137">
        <v>3400</v>
      </c>
      <c r="D13" s="141">
        <v>8</v>
      </c>
      <c r="E13" s="94"/>
      <c r="F13" s="250" t="s">
        <v>44</v>
      </c>
      <c r="G13" s="251"/>
      <c r="H13" s="256" t="s">
        <v>133</v>
      </c>
      <c r="I13" s="257"/>
      <c r="J13" s="257"/>
      <c r="K13" s="258"/>
      <c r="L13" s="96"/>
      <c r="M13" s="96"/>
      <c r="N13" s="96"/>
      <c r="O13" s="96"/>
      <c r="P13" s="96"/>
      <c r="Q13" s="96"/>
      <c r="R13" s="96"/>
      <c r="S13" s="96"/>
      <c r="T13" s="96"/>
      <c r="U13" s="96"/>
      <c r="V13" s="96"/>
      <c r="W13" s="96"/>
      <c r="X13" s="96"/>
      <c r="Y13" s="96"/>
      <c r="Z13" s="96"/>
      <c r="AA13" s="97">
        <f t="shared" si="1"/>
        <v>1.5709090909090909E-2</v>
      </c>
      <c r="AB13" s="98">
        <f>IF(B14=0,"",+AB12+D14*(B14-B13))</f>
        <v>280</v>
      </c>
      <c r="AC13" s="99">
        <f t="shared" si="2"/>
        <v>0.27648</v>
      </c>
      <c r="AD13" s="100">
        <f t="shared" si="3"/>
        <v>29.612479999999998</v>
      </c>
      <c r="AE13" s="101"/>
      <c r="AF13" s="101"/>
      <c r="AG13" s="101"/>
      <c r="AH13" s="101"/>
      <c r="AI13" s="101"/>
      <c r="AJ13" s="101"/>
      <c r="AK13" s="101"/>
      <c r="AL13" s="101"/>
      <c r="AM13" s="101"/>
      <c r="AN13" s="101"/>
      <c r="AO13" s="101"/>
    </row>
    <row r="14" spans="1:59" ht="16.5" customHeight="1">
      <c r="A14" s="149">
        <f t="shared" si="0"/>
        <v>6</v>
      </c>
      <c r="B14" s="140">
        <v>35</v>
      </c>
      <c r="C14" s="137">
        <v>3456</v>
      </c>
      <c r="D14" s="141">
        <v>8</v>
      </c>
      <c r="E14" s="94"/>
      <c r="F14" s="250" t="s">
        <v>11</v>
      </c>
      <c r="G14" s="251"/>
      <c r="H14" s="254" t="s">
        <v>61</v>
      </c>
      <c r="I14" s="254"/>
      <c r="J14" s="254"/>
      <c r="K14" s="255"/>
      <c r="L14" s="96"/>
      <c r="M14" s="96"/>
      <c r="N14" s="96"/>
      <c r="O14" s="96"/>
      <c r="P14" s="96"/>
      <c r="Q14" s="96"/>
      <c r="R14" s="96"/>
      <c r="S14" s="96"/>
      <c r="T14" s="96"/>
      <c r="U14" s="96"/>
      <c r="V14" s="96"/>
      <c r="W14" s="96"/>
      <c r="X14" s="96"/>
      <c r="Y14" s="96"/>
      <c r="Z14" s="96"/>
      <c r="AA14" s="97">
        <f t="shared" si="1"/>
        <v>0</v>
      </c>
      <c r="AB14" s="98">
        <f>IF(B15=0,"",+AB13+D15*(B15-B14))</f>
        <v>360</v>
      </c>
      <c r="AC14" s="99">
        <f t="shared" si="2"/>
        <v>0</v>
      </c>
      <c r="AD14" s="100">
        <f t="shared" si="3"/>
        <v>29.612479999999998</v>
      </c>
      <c r="AE14" s="101"/>
      <c r="AF14" s="101"/>
      <c r="AG14" s="101"/>
      <c r="AH14" s="101"/>
      <c r="AI14" s="101"/>
      <c r="AJ14" s="101"/>
      <c r="AK14" s="101"/>
      <c r="AL14" s="101"/>
      <c r="AM14" s="101"/>
      <c r="AN14" s="101"/>
      <c r="AO14" s="101"/>
    </row>
    <row r="15" spans="1:59" ht="17.25">
      <c r="A15" s="149">
        <f t="shared" si="0"/>
        <v>7</v>
      </c>
      <c r="B15" s="140">
        <v>45</v>
      </c>
      <c r="C15" s="137">
        <v>0</v>
      </c>
      <c r="D15" s="141">
        <v>8</v>
      </c>
      <c r="E15" s="94"/>
      <c r="F15" s="250" t="s">
        <v>30</v>
      </c>
      <c r="G15" s="251"/>
      <c r="H15" s="266">
        <v>220000</v>
      </c>
      <c r="I15" s="267"/>
      <c r="J15" s="264"/>
      <c r="K15" s="265"/>
      <c r="L15" s="96"/>
      <c r="M15" s="96"/>
      <c r="N15" s="96"/>
      <c r="O15" s="96"/>
      <c r="P15" s="96"/>
      <c r="Q15" s="96"/>
      <c r="R15" s="96"/>
      <c r="S15" s="96"/>
      <c r="T15" s="96"/>
      <c r="U15" s="96"/>
      <c r="V15" s="96"/>
      <c r="W15" s="96"/>
      <c r="X15" s="96"/>
      <c r="Y15" s="96"/>
      <c r="Z15" s="96"/>
      <c r="AA15" s="97">
        <f t="shared" si="1"/>
        <v>0</v>
      </c>
      <c r="AB15" s="98">
        <f>IF(B16=0,"",+AB14+D16*(B16-B15))</f>
        <v>360</v>
      </c>
      <c r="AC15" s="99">
        <f t="shared" si="2"/>
        <v>0</v>
      </c>
      <c r="AD15" s="100">
        <f t="shared" si="3"/>
        <v>29.612479999999998</v>
      </c>
      <c r="AE15" s="101"/>
      <c r="AF15" s="101"/>
      <c r="AG15" s="101"/>
      <c r="AH15" s="101"/>
      <c r="AI15" s="101"/>
      <c r="AJ15" s="101"/>
      <c r="AK15" s="101"/>
      <c r="AL15" s="101"/>
      <c r="AM15" s="101"/>
      <c r="AN15" s="101"/>
      <c r="AO15" s="101"/>
    </row>
    <row r="16" spans="1:59" ht="18" thickBot="1">
      <c r="A16" s="149">
        <f t="shared" si="0"/>
        <v>8</v>
      </c>
      <c r="B16" s="140">
        <v>46</v>
      </c>
      <c r="C16" s="137">
        <v>0</v>
      </c>
      <c r="D16" s="141">
        <v>0</v>
      </c>
      <c r="E16" s="94"/>
      <c r="F16" s="243" t="s">
        <v>31</v>
      </c>
      <c r="G16" s="244"/>
      <c r="H16" s="261">
        <v>34</v>
      </c>
      <c r="I16" s="262"/>
      <c r="J16" s="259"/>
      <c r="K16" s="260"/>
      <c r="L16" s="96"/>
      <c r="M16" s="96"/>
      <c r="N16" s="96"/>
      <c r="O16" s="96"/>
      <c r="P16" s="96"/>
      <c r="Q16" s="96"/>
      <c r="R16" s="96"/>
      <c r="S16" s="96"/>
      <c r="T16" s="96"/>
      <c r="U16" s="96"/>
      <c r="V16" s="96"/>
      <c r="W16" s="96"/>
      <c r="X16" s="96"/>
      <c r="Y16" s="96"/>
      <c r="Z16" s="96"/>
      <c r="AA16" s="97" t="str">
        <f t="shared" ref="AA16:AA43" si="4">IF(B17=0,"",+C17/$H$15)</f>
        <v/>
      </c>
      <c r="AB16" s="98" t="str">
        <f t="shared" ref="AB16" si="5">IF(B17=0,"",+AB15+D17*(B17-B15))</f>
        <v/>
      </c>
      <c r="AC16" s="99" t="str">
        <f t="shared" ref="AC16:AC43" si="6">IF(B17=0,"",(AB16-AB15)*C17/1000000)</f>
        <v/>
      </c>
      <c r="AD16" s="100" t="str">
        <f t="shared" ref="AD16:AD43" si="7">IF(B17=0,"",+AD15+AC16)</f>
        <v/>
      </c>
      <c r="AE16" s="101"/>
      <c r="AF16" s="101"/>
      <c r="AG16" s="101"/>
      <c r="AH16" s="101"/>
      <c r="AI16" s="101"/>
      <c r="AJ16" s="101"/>
      <c r="AK16" s="101"/>
      <c r="AL16" s="101"/>
      <c r="AM16" s="101"/>
      <c r="AN16" s="101"/>
      <c r="AO16" s="101"/>
    </row>
    <row r="17" spans="1:41" ht="20.25" thickTop="1" thickBot="1">
      <c r="A17" s="149">
        <f t="shared" si="0"/>
        <v>9</v>
      </c>
      <c r="B17" s="140"/>
      <c r="C17" s="137"/>
      <c r="D17" s="141"/>
      <c r="E17" s="94"/>
      <c r="F17" s="217"/>
      <c r="G17" s="217"/>
      <c r="L17" s="96"/>
      <c r="M17" s="96"/>
      <c r="N17" s="103">
        <v>1</v>
      </c>
      <c r="O17" s="96"/>
      <c r="P17" s="96"/>
      <c r="Q17" s="96"/>
      <c r="R17" s="96"/>
      <c r="S17" s="96"/>
      <c r="T17" s="96"/>
      <c r="U17" s="96"/>
      <c r="V17" s="96"/>
      <c r="W17" s="96"/>
      <c r="X17" s="96"/>
      <c r="Y17" s="96"/>
      <c r="Z17" s="96"/>
      <c r="AA17" s="97" t="str">
        <f t="shared" si="4"/>
        <v/>
      </c>
      <c r="AB17" s="98" t="str">
        <f t="shared" ref="AB17:AB20" si="8">IF(B18=0,"",+AB16+D18*(B18-B17))</f>
        <v/>
      </c>
      <c r="AC17" s="99" t="str">
        <f t="shared" si="6"/>
        <v/>
      </c>
      <c r="AD17" s="100" t="str">
        <f t="shared" si="7"/>
        <v/>
      </c>
      <c r="AE17" s="101"/>
      <c r="AF17" s="101"/>
      <c r="AG17" s="101"/>
      <c r="AH17" s="101"/>
      <c r="AI17" s="101"/>
      <c r="AJ17" s="101"/>
      <c r="AK17" s="101"/>
      <c r="AL17" s="101"/>
      <c r="AM17" s="101"/>
      <c r="AN17" s="101"/>
      <c r="AO17" s="101"/>
    </row>
    <row r="18" spans="1:41" ht="18" thickTop="1">
      <c r="A18" s="149">
        <f t="shared" si="0"/>
        <v>10</v>
      </c>
      <c r="B18" s="140"/>
      <c r="C18" s="137"/>
      <c r="D18" s="141"/>
      <c r="E18" s="94"/>
      <c r="F18" s="280" t="s">
        <v>35</v>
      </c>
      <c r="G18" s="281"/>
      <c r="H18" s="263">
        <f>B45</f>
        <v>46</v>
      </c>
      <c r="I18" s="263"/>
      <c r="J18" s="252" t="s">
        <v>42</v>
      </c>
      <c r="K18" s="253"/>
      <c r="L18" s="96"/>
      <c r="M18" s="96"/>
      <c r="N18" s="96"/>
      <c r="O18" s="96"/>
      <c r="P18" s="96"/>
      <c r="Q18" s="96"/>
      <c r="R18" s="96"/>
      <c r="S18" s="96"/>
      <c r="T18" s="96"/>
      <c r="U18" s="96"/>
      <c r="V18" s="96"/>
      <c r="W18" s="96"/>
      <c r="X18" s="96"/>
      <c r="Y18" s="96"/>
      <c r="Z18" s="96"/>
      <c r="AA18" s="97" t="str">
        <f t="shared" si="4"/>
        <v/>
      </c>
      <c r="AB18" s="98" t="str">
        <f t="shared" si="8"/>
        <v/>
      </c>
      <c r="AC18" s="99" t="str">
        <f t="shared" si="6"/>
        <v/>
      </c>
      <c r="AD18" s="100" t="str">
        <f t="shared" si="7"/>
        <v/>
      </c>
      <c r="AE18" s="101"/>
      <c r="AF18" s="101"/>
      <c r="AG18" s="101"/>
      <c r="AH18" s="101"/>
      <c r="AI18" s="101"/>
      <c r="AJ18" s="101"/>
      <c r="AK18" s="101"/>
      <c r="AL18" s="101"/>
      <c r="AM18" s="101"/>
      <c r="AN18" s="101"/>
      <c r="AO18" s="101"/>
    </row>
    <row r="19" spans="1:41" ht="17.25">
      <c r="A19" s="149">
        <f t="shared" si="0"/>
        <v>11</v>
      </c>
      <c r="B19" s="140"/>
      <c r="C19" s="137"/>
      <c r="D19" s="141"/>
      <c r="E19" s="104"/>
      <c r="F19" s="250" t="s">
        <v>36</v>
      </c>
      <c r="G19" s="251"/>
      <c r="H19" s="282">
        <f>D45</f>
        <v>7.1111111111111107</v>
      </c>
      <c r="I19" s="282"/>
      <c r="J19" s="240" t="s">
        <v>1</v>
      </c>
      <c r="K19" s="241"/>
      <c r="L19" s="101"/>
      <c r="M19" s="101"/>
      <c r="N19" s="101"/>
      <c r="O19" s="101"/>
      <c r="P19" s="101"/>
      <c r="Q19" s="101"/>
      <c r="R19" s="101"/>
      <c r="S19" s="101"/>
      <c r="T19" s="101"/>
      <c r="U19" s="101"/>
      <c r="V19" s="101"/>
      <c r="W19" s="101"/>
      <c r="X19" s="101"/>
      <c r="Y19" s="101"/>
      <c r="Z19" s="101"/>
      <c r="AA19" s="97" t="str">
        <f t="shared" si="4"/>
        <v/>
      </c>
      <c r="AB19" s="98" t="str">
        <f t="shared" si="8"/>
        <v/>
      </c>
      <c r="AC19" s="99" t="str">
        <f t="shared" si="6"/>
        <v/>
      </c>
      <c r="AD19" s="100" t="str">
        <f t="shared" si="7"/>
        <v/>
      </c>
      <c r="AE19" s="101"/>
      <c r="AF19" s="101"/>
      <c r="AG19" s="101"/>
      <c r="AH19" s="101"/>
      <c r="AI19" s="101"/>
      <c r="AJ19" s="101"/>
      <c r="AK19" s="101"/>
      <c r="AL19" s="101"/>
      <c r="AM19" s="101"/>
      <c r="AN19" s="101"/>
      <c r="AO19" s="101"/>
    </row>
    <row r="20" spans="1:41" ht="17.25">
      <c r="A20" s="149">
        <f t="shared" si="0"/>
        <v>12</v>
      </c>
      <c r="B20" s="140"/>
      <c r="C20" s="137"/>
      <c r="D20" s="141"/>
      <c r="E20" s="104"/>
      <c r="F20" s="250" t="s">
        <v>37</v>
      </c>
      <c r="G20" s="251"/>
      <c r="H20" s="242">
        <f>AB45</f>
        <v>360</v>
      </c>
      <c r="I20" s="242"/>
      <c r="J20" s="240" t="s">
        <v>34</v>
      </c>
      <c r="K20" s="241"/>
      <c r="L20" s="101"/>
      <c r="M20" s="101"/>
      <c r="N20" s="101"/>
      <c r="O20" s="101"/>
      <c r="P20" s="101"/>
      <c r="Q20" s="101"/>
      <c r="R20" s="101"/>
      <c r="S20" s="101"/>
      <c r="T20" s="101"/>
      <c r="U20" s="101"/>
      <c r="V20" s="101"/>
      <c r="W20" s="101"/>
      <c r="X20" s="101"/>
      <c r="Y20" s="101"/>
      <c r="Z20" s="101"/>
      <c r="AA20" s="97" t="str">
        <f t="shared" si="4"/>
        <v/>
      </c>
      <c r="AB20" s="98" t="str">
        <f t="shared" si="8"/>
        <v/>
      </c>
      <c r="AC20" s="99" t="str">
        <f t="shared" si="6"/>
        <v/>
      </c>
      <c r="AD20" s="100" t="str">
        <f t="shared" si="7"/>
        <v/>
      </c>
      <c r="AE20" s="101"/>
      <c r="AF20" s="101"/>
      <c r="AG20" s="101"/>
      <c r="AH20" s="101"/>
      <c r="AI20" s="101"/>
      <c r="AJ20" s="101"/>
      <c r="AK20" s="101"/>
      <c r="AL20" s="101"/>
      <c r="AM20" s="101"/>
      <c r="AN20" s="101"/>
      <c r="AO20" s="101"/>
    </row>
    <row r="21" spans="1:41" ht="17.25">
      <c r="A21" s="149">
        <f t="shared" si="0"/>
        <v>13</v>
      </c>
      <c r="B21" s="140"/>
      <c r="C21" s="137"/>
      <c r="D21" s="141"/>
      <c r="E21" s="104"/>
      <c r="F21" s="250" t="s">
        <v>38</v>
      </c>
      <c r="G21" s="251"/>
      <c r="H21" s="282">
        <f>AC45</f>
        <v>29.612479999999998</v>
      </c>
      <c r="I21" s="282"/>
      <c r="J21" s="240" t="s">
        <v>2</v>
      </c>
      <c r="K21" s="241"/>
      <c r="L21" s="101"/>
      <c r="M21" s="101"/>
      <c r="N21" s="101"/>
      <c r="O21" s="101"/>
      <c r="P21" s="101"/>
      <c r="Q21" s="101"/>
      <c r="R21" s="101"/>
      <c r="S21" s="101"/>
      <c r="T21" s="101"/>
      <c r="U21" s="101"/>
      <c r="V21" s="101"/>
      <c r="W21" s="101"/>
      <c r="X21" s="101"/>
      <c r="Y21" s="101"/>
      <c r="Z21" s="101"/>
      <c r="AA21" s="97" t="str">
        <f t="shared" si="4"/>
        <v/>
      </c>
      <c r="AB21" s="98" t="str">
        <f t="shared" ref="AB21" si="9">IF(B22=0,"",+AB20+D22*(B22-B20))</f>
        <v/>
      </c>
      <c r="AC21" s="99" t="str">
        <f t="shared" si="6"/>
        <v/>
      </c>
      <c r="AD21" s="100" t="str">
        <f t="shared" si="7"/>
        <v/>
      </c>
      <c r="AE21" s="101"/>
      <c r="AF21" s="101"/>
      <c r="AG21" s="101"/>
      <c r="AH21" s="101"/>
      <c r="AI21" s="101"/>
      <c r="AJ21" s="101"/>
      <c r="AK21" s="101"/>
      <c r="AL21" s="101"/>
      <c r="AM21" s="101"/>
      <c r="AN21" s="101"/>
      <c r="AO21" s="101"/>
    </row>
    <row r="22" spans="1:41" ht="17.25">
      <c r="A22" s="149">
        <f t="shared" si="0"/>
        <v>14</v>
      </c>
      <c r="B22" s="140"/>
      <c r="C22" s="137"/>
      <c r="D22" s="141"/>
      <c r="E22" s="104"/>
      <c r="F22" s="250" t="s">
        <v>39</v>
      </c>
      <c r="G22" s="251"/>
      <c r="H22" s="242">
        <f>IF(OR(H15=0,H21=0),"",H21/H15*1000000)</f>
        <v>134.6021818181818</v>
      </c>
      <c r="I22" s="242" t="str">
        <f>IF(OR(H22=0,C22=0),"",H22/C22*1000000)</f>
        <v/>
      </c>
      <c r="J22" s="240" t="s">
        <v>34</v>
      </c>
      <c r="K22" s="241"/>
      <c r="L22" s="101"/>
      <c r="M22" s="101"/>
      <c r="N22" s="101"/>
      <c r="O22" s="101"/>
      <c r="P22" s="101"/>
      <c r="Q22" s="101"/>
      <c r="R22" s="101"/>
      <c r="S22" s="101"/>
      <c r="T22" s="101"/>
      <c r="U22" s="101"/>
      <c r="V22" s="101"/>
      <c r="W22" s="101"/>
      <c r="X22" s="101"/>
      <c r="Y22" s="101"/>
      <c r="Z22" s="101"/>
      <c r="AA22" s="97" t="str">
        <f t="shared" si="4"/>
        <v/>
      </c>
      <c r="AB22" s="98" t="str">
        <f t="shared" ref="AB22:AB25" si="10">IF(B23=0,"",+AB21+D23*(B23-B22))</f>
        <v/>
      </c>
      <c r="AC22" s="99" t="str">
        <f t="shared" si="6"/>
        <v/>
      </c>
      <c r="AD22" s="100" t="str">
        <f t="shared" si="7"/>
        <v/>
      </c>
      <c r="AE22" s="101"/>
      <c r="AF22" s="101"/>
      <c r="AG22" s="101"/>
      <c r="AH22" s="101"/>
      <c r="AI22" s="101"/>
      <c r="AJ22" s="101"/>
      <c r="AK22" s="101"/>
      <c r="AL22" s="101"/>
      <c r="AM22" s="101"/>
      <c r="AN22" s="101"/>
      <c r="AO22" s="101"/>
    </row>
    <row r="23" spans="1:41" ht="18" thickBot="1">
      <c r="A23" s="149">
        <f t="shared" si="0"/>
        <v>15</v>
      </c>
      <c r="B23" s="140"/>
      <c r="C23" s="137"/>
      <c r="D23" s="141"/>
      <c r="E23" s="104"/>
      <c r="F23" s="243" t="s">
        <v>40</v>
      </c>
      <c r="G23" s="244"/>
      <c r="H23" s="249">
        <f>IF(H16=0,"",H22*H16/100)</f>
        <v>45.764741818181811</v>
      </c>
      <c r="I23" s="249" t="str">
        <f>IF(C23=0,"",C23*H23/100)</f>
        <v/>
      </c>
      <c r="J23" s="247" t="s">
        <v>41</v>
      </c>
      <c r="K23" s="248"/>
      <c r="L23" s="101"/>
      <c r="M23" s="101"/>
      <c r="N23" s="101"/>
      <c r="O23" s="101"/>
      <c r="P23" s="101"/>
      <c r="Q23" s="101"/>
      <c r="R23" s="101"/>
      <c r="S23" s="101"/>
      <c r="T23" s="101"/>
      <c r="U23" s="101"/>
      <c r="V23" s="101"/>
      <c r="W23" s="101"/>
      <c r="X23" s="101"/>
      <c r="Y23" s="101"/>
      <c r="Z23" s="101"/>
      <c r="AA23" s="97" t="str">
        <f t="shared" si="4"/>
        <v/>
      </c>
      <c r="AB23" s="98" t="str">
        <f t="shared" si="10"/>
        <v/>
      </c>
      <c r="AC23" s="99" t="str">
        <f t="shared" si="6"/>
        <v/>
      </c>
      <c r="AD23" s="100" t="str">
        <f t="shared" si="7"/>
        <v/>
      </c>
      <c r="AE23" s="101"/>
      <c r="AF23" s="101"/>
      <c r="AG23" s="101"/>
      <c r="AH23" s="101"/>
      <c r="AI23" s="101"/>
      <c r="AJ23" s="101"/>
      <c r="AK23" s="101"/>
      <c r="AL23" s="101"/>
      <c r="AM23" s="101"/>
      <c r="AN23" s="101"/>
      <c r="AO23" s="101"/>
    </row>
    <row r="24" spans="1:41" ht="17.25" thickTop="1" thickBot="1">
      <c r="A24" s="149">
        <f t="shared" si="0"/>
        <v>16</v>
      </c>
      <c r="B24" s="140"/>
      <c r="C24" s="137"/>
      <c r="D24" s="141"/>
      <c r="E24" s="104"/>
      <c r="F24" s="135"/>
      <c r="G24" s="135"/>
      <c r="H24" s="101"/>
      <c r="I24" s="101"/>
      <c r="J24" s="101"/>
      <c r="K24" s="101"/>
      <c r="L24" s="101"/>
      <c r="M24" s="101"/>
      <c r="N24" s="101"/>
      <c r="O24" s="101"/>
      <c r="P24" s="101"/>
      <c r="Q24" s="101"/>
      <c r="R24" s="101"/>
      <c r="S24" s="101"/>
      <c r="T24" s="101"/>
      <c r="U24" s="101"/>
      <c r="V24" s="101"/>
      <c r="W24" s="101"/>
      <c r="X24" s="101"/>
      <c r="Y24" s="101"/>
      <c r="Z24" s="101"/>
      <c r="AA24" s="97" t="str">
        <f t="shared" si="4"/>
        <v/>
      </c>
      <c r="AB24" s="98" t="str">
        <f t="shared" si="10"/>
        <v/>
      </c>
      <c r="AC24" s="99" t="str">
        <f t="shared" si="6"/>
        <v/>
      </c>
      <c r="AD24" s="100" t="str">
        <f t="shared" si="7"/>
        <v/>
      </c>
      <c r="AE24" s="101"/>
      <c r="AF24" s="101"/>
      <c r="AG24" s="101"/>
      <c r="AH24" s="101"/>
      <c r="AI24" s="101"/>
      <c r="AJ24" s="101"/>
      <c r="AK24" s="101"/>
      <c r="AL24" s="101"/>
      <c r="AM24" s="101"/>
      <c r="AN24" s="101"/>
      <c r="AO24" s="101"/>
    </row>
    <row r="25" spans="1:41" ht="15.75" customHeight="1" thickTop="1" thickBot="1">
      <c r="A25" s="149">
        <f t="shared" si="0"/>
        <v>17</v>
      </c>
      <c r="B25" s="140"/>
      <c r="C25" s="137"/>
      <c r="D25" s="141"/>
      <c r="E25" s="104"/>
      <c r="F25" s="245" t="s">
        <v>0</v>
      </c>
      <c r="G25" s="246"/>
      <c r="H25" s="105"/>
      <c r="I25" s="105"/>
      <c r="J25" s="105"/>
      <c r="K25" s="105"/>
      <c r="L25" s="101"/>
      <c r="M25" s="101"/>
      <c r="N25" s="101"/>
      <c r="O25" s="101"/>
      <c r="P25" s="101"/>
      <c r="Q25" s="101"/>
      <c r="R25" s="101"/>
      <c r="S25" s="101"/>
      <c r="T25" s="101"/>
      <c r="U25" s="101"/>
      <c r="V25" s="101"/>
      <c r="W25" s="101"/>
      <c r="X25" s="101"/>
      <c r="Y25" s="101"/>
      <c r="Z25" s="101"/>
      <c r="AA25" s="97" t="str">
        <f t="shared" si="4"/>
        <v/>
      </c>
      <c r="AB25" s="98" t="str">
        <f t="shared" si="10"/>
        <v/>
      </c>
      <c r="AC25" s="99" t="str">
        <f t="shared" si="6"/>
        <v/>
      </c>
      <c r="AD25" s="100" t="str">
        <f t="shared" si="7"/>
        <v/>
      </c>
      <c r="AE25" s="101"/>
      <c r="AF25" s="101"/>
      <c r="AG25" s="101"/>
      <c r="AH25" s="101"/>
      <c r="AI25" s="101"/>
      <c r="AJ25" s="101"/>
      <c r="AK25" s="101"/>
      <c r="AL25" s="101"/>
      <c r="AM25" s="101"/>
      <c r="AN25" s="101"/>
      <c r="AO25" s="101"/>
    </row>
    <row r="26" spans="1:41" ht="16.5" customHeight="1" thickTop="1">
      <c r="A26" s="149">
        <f t="shared" si="0"/>
        <v>18</v>
      </c>
      <c r="B26" s="140"/>
      <c r="C26" s="137"/>
      <c r="D26" s="141"/>
      <c r="E26" s="104"/>
      <c r="F26" s="231"/>
      <c r="G26" s="232"/>
      <c r="H26" s="232"/>
      <c r="I26" s="232"/>
      <c r="J26" s="232"/>
      <c r="K26" s="233"/>
      <c r="L26" s="101"/>
      <c r="M26" s="101"/>
      <c r="N26" s="101"/>
      <c r="O26" s="101"/>
      <c r="P26" s="101"/>
      <c r="Q26" s="101"/>
      <c r="R26" s="101"/>
      <c r="S26" s="101"/>
      <c r="T26" s="101"/>
      <c r="U26" s="101"/>
      <c r="V26" s="101"/>
      <c r="W26" s="101"/>
      <c r="X26" s="101"/>
      <c r="Y26" s="101"/>
      <c r="Z26" s="101"/>
      <c r="AA26" s="97" t="str">
        <f t="shared" si="4"/>
        <v/>
      </c>
      <c r="AB26" s="98" t="str">
        <f t="shared" ref="AB26" si="11">IF(B27=0,"",+AB25+D27*(B27-B25))</f>
        <v/>
      </c>
      <c r="AC26" s="99" t="str">
        <f t="shared" si="6"/>
        <v/>
      </c>
      <c r="AD26" s="100" t="str">
        <f t="shared" si="7"/>
        <v/>
      </c>
      <c r="AE26" s="101"/>
      <c r="AF26" s="101"/>
      <c r="AG26" s="101"/>
      <c r="AH26" s="101"/>
      <c r="AI26" s="101"/>
      <c r="AJ26" s="101"/>
      <c r="AK26" s="101"/>
      <c r="AL26" s="101"/>
      <c r="AM26" s="101"/>
      <c r="AN26" s="101"/>
      <c r="AO26" s="101"/>
    </row>
    <row r="27" spans="1:41">
      <c r="A27" s="149">
        <f t="shared" si="0"/>
        <v>19</v>
      </c>
      <c r="B27" s="140"/>
      <c r="C27" s="137"/>
      <c r="D27" s="141"/>
      <c r="E27" s="104"/>
      <c r="F27" s="234"/>
      <c r="G27" s="235"/>
      <c r="H27" s="235"/>
      <c r="I27" s="235"/>
      <c r="J27" s="235"/>
      <c r="K27" s="236"/>
      <c r="L27" s="101"/>
      <c r="M27" s="101"/>
      <c r="N27" s="101"/>
      <c r="O27" s="101"/>
      <c r="P27" s="101"/>
      <c r="Q27" s="101"/>
      <c r="R27" s="101"/>
      <c r="S27" s="101"/>
      <c r="T27" s="101"/>
      <c r="U27" s="101"/>
      <c r="V27" s="101"/>
      <c r="W27" s="101"/>
      <c r="X27" s="101"/>
      <c r="Y27" s="101"/>
      <c r="Z27" s="101"/>
      <c r="AA27" s="97" t="str">
        <f t="shared" si="4"/>
        <v/>
      </c>
      <c r="AB27" s="98" t="str">
        <f t="shared" ref="AB27:AB30" si="12">IF(B28=0,"",+AB26+D28*(B28-B27))</f>
        <v/>
      </c>
      <c r="AC27" s="99" t="str">
        <f t="shared" si="6"/>
        <v/>
      </c>
      <c r="AD27" s="100" t="str">
        <f t="shared" si="7"/>
        <v/>
      </c>
      <c r="AE27" s="101"/>
      <c r="AF27" s="101"/>
      <c r="AG27" s="101"/>
      <c r="AH27" s="101"/>
      <c r="AI27" s="101"/>
      <c r="AJ27" s="101"/>
      <c r="AK27" s="101"/>
      <c r="AL27" s="101"/>
      <c r="AM27" s="101"/>
      <c r="AN27" s="101"/>
      <c r="AO27" s="101"/>
    </row>
    <row r="28" spans="1:41">
      <c r="A28" s="149">
        <f t="shared" si="0"/>
        <v>20</v>
      </c>
      <c r="B28" s="140"/>
      <c r="C28" s="137"/>
      <c r="D28" s="141"/>
      <c r="E28" s="104"/>
      <c r="F28" s="234"/>
      <c r="G28" s="235"/>
      <c r="H28" s="235"/>
      <c r="I28" s="235"/>
      <c r="J28" s="235"/>
      <c r="K28" s="236"/>
      <c r="L28" s="101"/>
      <c r="M28" s="101"/>
      <c r="N28" s="101"/>
      <c r="O28" s="101"/>
      <c r="P28" s="101"/>
      <c r="Q28" s="101"/>
      <c r="R28" s="101"/>
      <c r="S28" s="101"/>
      <c r="T28" s="101"/>
      <c r="U28" s="101"/>
      <c r="V28" s="101"/>
      <c r="W28" s="101"/>
      <c r="X28" s="101"/>
      <c r="Y28" s="101"/>
      <c r="Z28" s="101"/>
      <c r="AA28" s="97" t="str">
        <f t="shared" si="4"/>
        <v/>
      </c>
      <c r="AB28" s="98" t="str">
        <f t="shared" si="12"/>
        <v/>
      </c>
      <c r="AC28" s="99" t="str">
        <f t="shared" si="6"/>
        <v/>
      </c>
      <c r="AD28" s="100" t="str">
        <f t="shared" si="7"/>
        <v/>
      </c>
      <c r="AE28" s="101"/>
      <c r="AF28" s="101"/>
      <c r="AG28" s="101"/>
      <c r="AH28" s="101"/>
      <c r="AI28" s="101"/>
      <c r="AJ28" s="101"/>
      <c r="AK28" s="101"/>
      <c r="AL28" s="101"/>
      <c r="AM28" s="101"/>
      <c r="AN28" s="101"/>
      <c r="AO28" s="101"/>
    </row>
    <row r="29" spans="1:41">
      <c r="A29" s="149">
        <f t="shared" si="0"/>
        <v>21</v>
      </c>
      <c r="B29" s="140"/>
      <c r="C29" s="137"/>
      <c r="D29" s="141"/>
      <c r="E29" s="104"/>
      <c r="F29" s="234"/>
      <c r="G29" s="235"/>
      <c r="H29" s="235"/>
      <c r="I29" s="235"/>
      <c r="J29" s="235"/>
      <c r="K29" s="236"/>
      <c r="L29" s="101"/>
      <c r="M29" s="101"/>
      <c r="N29" s="101"/>
      <c r="O29" s="101"/>
      <c r="P29" s="101"/>
      <c r="Q29" s="101"/>
      <c r="R29" s="101"/>
      <c r="S29" s="101"/>
      <c r="T29" s="101"/>
      <c r="U29" s="101"/>
      <c r="V29" s="101"/>
      <c r="W29" s="101"/>
      <c r="X29" s="101"/>
      <c r="Y29" s="101"/>
      <c r="Z29" s="101"/>
      <c r="AA29" s="97" t="str">
        <f t="shared" si="4"/>
        <v/>
      </c>
      <c r="AB29" s="98" t="str">
        <f t="shared" si="12"/>
        <v/>
      </c>
      <c r="AC29" s="99" t="str">
        <f t="shared" si="6"/>
        <v/>
      </c>
      <c r="AD29" s="100" t="str">
        <f t="shared" si="7"/>
        <v/>
      </c>
      <c r="AE29" s="101"/>
      <c r="AF29" s="101"/>
      <c r="AG29" s="101"/>
      <c r="AH29" s="101"/>
      <c r="AI29" s="101"/>
      <c r="AJ29" s="101"/>
      <c r="AK29" s="101"/>
      <c r="AL29" s="101"/>
      <c r="AM29" s="101"/>
      <c r="AN29" s="101"/>
      <c r="AO29" s="101"/>
    </row>
    <row r="30" spans="1:41" ht="16.5" thickBot="1">
      <c r="A30" s="149">
        <f t="shared" si="0"/>
        <v>22</v>
      </c>
      <c r="B30" s="140"/>
      <c r="C30" s="137"/>
      <c r="D30" s="141"/>
      <c r="E30" s="104"/>
      <c r="F30" s="237"/>
      <c r="G30" s="238"/>
      <c r="H30" s="238"/>
      <c r="I30" s="238"/>
      <c r="J30" s="238"/>
      <c r="K30" s="239"/>
      <c r="L30" s="101"/>
      <c r="M30" s="101"/>
      <c r="N30" s="101"/>
      <c r="O30" s="101"/>
      <c r="P30" s="101"/>
      <c r="Q30" s="101"/>
      <c r="R30" s="101"/>
      <c r="S30" s="101"/>
      <c r="T30" s="101"/>
      <c r="U30" s="101"/>
      <c r="V30" s="101"/>
      <c r="W30" s="101"/>
      <c r="X30" s="101"/>
      <c r="Y30" s="101"/>
      <c r="Z30" s="101"/>
      <c r="AA30" s="97" t="str">
        <f t="shared" si="4"/>
        <v/>
      </c>
      <c r="AB30" s="98" t="str">
        <f t="shared" si="12"/>
        <v/>
      </c>
      <c r="AC30" s="99" t="str">
        <f t="shared" si="6"/>
        <v/>
      </c>
      <c r="AD30" s="100" t="str">
        <f t="shared" si="7"/>
        <v/>
      </c>
      <c r="AE30" s="101"/>
      <c r="AF30" s="101"/>
      <c r="AG30" s="101"/>
      <c r="AH30" s="101"/>
      <c r="AI30" s="101"/>
      <c r="AJ30" s="101"/>
      <c r="AK30" s="101"/>
      <c r="AL30" s="101"/>
      <c r="AM30" s="101"/>
      <c r="AN30" s="101"/>
      <c r="AO30" s="101"/>
    </row>
    <row r="31" spans="1:41" ht="16.5" thickTop="1">
      <c r="A31" s="149">
        <f t="shared" si="0"/>
        <v>23</v>
      </c>
      <c r="B31" s="140"/>
      <c r="C31" s="137"/>
      <c r="D31" s="141"/>
      <c r="E31" s="104"/>
      <c r="F31" s="101"/>
      <c r="G31" s="101"/>
      <c r="H31" s="101"/>
      <c r="I31" s="101"/>
      <c r="J31" s="101"/>
      <c r="K31" s="101"/>
      <c r="L31" s="101"/>
      <c r="M31" s="101"/>
      <c r="N31" s="101"/>
      <c r="O31" s="101"/>
      <c r="P31" s="101"/>
      <c r="Q31" s="101"/>
      <c r="R31" s="101"/>
      <c r="S31" s="101"/>
      <c r="T31" s="101"/>
      <c r="U31" s="101"/>
      <c r="V31" s="101"/>
      <c r="W31" s="101"/>
      <c r="X31" s="101"/>
      <c r="Y31" s="101"/>
      <c r="Z31" s="101"/>
      <c r="AA31" s="97" t="str">
        <f t="shared" si="4"/>
        <v/>
      </c>
      <c r="AB31" s="98" t="str">
        <f t="shared" ref="AB31" si="13">IF(B32=0,"",+AB30+D32*(B32-B30))</f>
        <v/>
      </c>
      <c r="AC31" s="99" t="str">
        <f t="shared" si="6"/>
        <v/>
      </c>
      <c r="AD31" s="100" t="str">
        <f t="shared" si="7"/>
        <v/>
      </c>
      <c r="AE31" s="101"/>
      <c r="AF31" s="101"/>
      <c r="AG31" s="101"/>
      <c r="AH31" s="101"/>
      <c r="AI31" s="101"/>
      <c r="AJ31" s="101"/>
      <c r="AK31" s="101"/>
      <c r="AL31" s="101"/>
      <c r="AM31" s="101"/>
      <c r="AN31" s="101"/>
      <c r="AO31" s="101"/>
    </row>
    <row r="32" spans="1:41">
      <c r="A32" s="149">
        <f t="shared" si="0"/>
        <v>24</v>
      </c>
      <c r="B32" s="140"/>
      <c r="C32" s="137"/>
      <c r="D32" s="141"/>
      <c r="E32" s="104"/>
      <c r="F32" s="101"/>
      <c r="G32" s="101"/>
      <c r="H32" s="101"/>
      <c r="I32" s="101"/>
      <c r="J32" s="101"/>
      <c r="K32" s="101"/>
      <c r="L32" s="101"/>
      <c r="M32" s="101"/>
      <c r="N32" s="101"/>
      <c r="O32" s="101"/>
      <c r="P32" s="101"/>
      <c r="Q32" s="101"/>
      <c r="R32" s="101"/>
      <c r="S32" s="101"/>
      <c r="T32" s="101"/>
      <c r="U32" s="101"/>
      <c r="V32" s="101"/>
      <c r="W32" s="101"/>
      <c r="X32" s="101"/>
      <c r="Y32" s="101"/>
      <c r="Z32" s="101"/>
      <c r="AA32" s="97" t="str">
        <f t="shared" si="4"/>
        <v/>
      </c>
      <c r="AB32" s="98" t="str">
        <f t="shared" ref="AB32:AB35" si="14">IF(B33=0,"",+AB31+D33*(B33-B32))</f>
        <v/>
      </c>
      <c r="AC32" s="99" t="str">
        <f t="shared" si="6"/>
        <v/>
      </c>
      <c r="AD32" s="100" t="str">
        <f t="shared" si="7"/>
        <v/>
      </c>
      <c r="AE32" s="101"/>
      <c r="AF32" s="101"/>
      <c r="AG32" s="101"/>
      <c r="AH32" s="101"/>
      <c r="AI32" s="101"/>
      <c r="AJ32" s="101"/>
      <c r="AK32" s="101"/>
      <c r="AL32" s="101"/>
      <c r="AM32" s="101"/>
      <c r="AN32" s="101"/>
      <c r="AO32" s="101"/>
    </row>
    <row r="33" spans="1:41">
      <c r="A33" s="149">
        <f t="shared" si="0"/>
        <v>25</v>
      </c>
      <c r="B33" s="140"/>
      <c r="C33" s="137"/>
      <c r="D33" s="141"/>
      <c r="E33" s="104"/>
      <c r="F33" s="101"/>
      <c r="G33" s="101"/>
      <c r="H33" s="101"/>
      <c r="I33" s="101"/>
      <c r="J33" s="101"/>
      <c r="K33" s="101"/>
      <c r="L33" s="101"/>
      <c r="M33" s="101"/>
      <c r="N33" s="101"/>
      <c r="O33" s="101"/>
      <c r="P33" s="101"/>
      <c r="Q33" s="101"/>
      <c r="R33" s="101"/>
      <c r="S33" s="101"/>
      <c r="T33" s="101"/>
      <c r="U33" s="101"/>
      <c r="V33" s="101"/>
      <c r="W33" s="101"/>
      <c r="X33" s="101"/>
      <c r="Y33" s="101"/>
      <c r="Z33" s="101"/>
      <c r="AA33" s="97" t="str">
        <f t="shared" si="4"/>
        <v/>
      </c>
      <c r="AB33" s="98" t="str">
        <f t="shared" si="14"/>
        <v/>
      </c>
      <c r="AC33" s="99" t="str">
        <f t="shared" si="6"/>
        <v/>
      </c>
      <c r="AD33" s="100" t="str">
        <f t="shared" si="7"/>
        <v/>
      </c>
      <c r="AE33" s="101"/>
      <c r="AF33" s="101"/>
      <c r="AG33" s="101"/>
      <c r="AH33" s="101"/>
      <c r="AI33" s="101"/>
      <c r="AJ33" s="101"/>
      <c r="AK33" s="101"/>
      <c r="AL33" s="101"/>
      <c r="AM33" s="101"/>
      <c r="AN33" s="101"/>
      <c r="AO33" s="101"/>
    </row>
    <row r="34" spans="1:41">
      <c r="A34" s="149">
        <f t="shared" si="0"/>
        <v>26</v>
      </c>
      <c r="B34" s="140"/>
      <c r="C34" s="137"/>
      <c r="D34" s="141"/>
      <c r="E34" s="104"/>
      <c r="F34" s="101"/>
      <c r="G34" s="101"/>
      <c r="H34" s="101"/>
      <c r="I34" s="101"/>
      <c r="J34" s="101"/>
      <c r="K34" s="101"/>
      <c r="L34" s="101"/>
      <c r="M34" s="101"/>
      <c r="N34" s="101"/>
      <c r="O34" s="101"/>
      <c r="P34" s="101"/>
      <c r="Q34" s="101"/>
      <c r="R34" s="101"/>
      <c r="S34" s="101"/>
      <c r="T34" s="101"/>
      <c r="U34" s="101"/>
      <c r="V34" s="101"/>
      <c r="W34" s="101"/>
      <c r="X34" s="101"/>
      <c r="Y34" s="101"/>
      <c r="Z34" s="101"/>
      <c r="AA34" s="97" t="str">
        <f t="shared" si="4"/>
        <v/>
      </c>
      <c r="AB34" s="98" t="str">
        <f t="shared" si="14"/>
        <v/>
      </c>
      <c r="AC34" s="99" t="str">
        <f t="shared" si="6"/>
        <v/>
      </c>
      <c r="AD34" s="100" t="str">
        <f t="shared" si="7"/>
        <v/>
      </c>
      <c r="AE34" s="101"/>
      <c r="AF34" s="101"/>
      <c r="AG34" s="101"/>
      <c r="AH34" s="101"/>
      <c r="AI34" s="101"/>
      <c r="AJ34" s="101"/>
      <c r="AK34" s="101"/>
      <c r="AL34" s="101"/>
      <c r="AM34" s="101"/>
      <c r="AN34" s="101"/>
      <c r="AO34" s="101"/>
    </row>
    <row r="35" spans="1:41">
      <c r="A35" s="149">
        <f t="shared" si="0"/>
        <v>27</v>
      </c>
      <c r="B35" s="140"/>
      <c r="C35" s="137"/>
      <c r="D35" s="141"/>
      <c r="E35" s="104"/>
      <c r="F35" s="101"/>
      <c r="G35" s="101"/>
      <c r="H35" s="101"/>
      <c r="I35" s="101"/>
      <c r="J35" s="101"/>
      <c r="K35" s="101"/>
      <c r="L35" s="101"/>
      <c r="M35" s="101"/>
      <c r="N35" s="101"/>
      <c r="O35" s="101"/>
      <c r="P35" s="101"/>
      <c r="Q35" s="101"/>
      <c r="R35" s="101"/>
      <c r="S35" s="101"/>
      <c r="T35" s="101"/>
      <c r="U35" s="101"/>
      <c r="V35" s="101"/>
      <c r="W35" s="101"/>
      <c r="X35" s="101"/>
      <c r="Y35" s="101"/>
      <c r="Z35" s="101"/>
      <c r="AA35" s="97" t="str">
        <f t="shared" si="4"/>
        <v/>
      </c>
      <c r="AB35" s="98" t="str">
        <f t="shared" si="14"/>
        <v/>
      </c>
      <c r="AC35" s="99" t="str">
        <f t="shared" si="6"/>
        <v/>
      </c>
      <c r="AD35" s="100" t="str">
        <f t="shared" si="7"/>
        <v/>
      </c>
      <c r="AE35" s="101"/>
      <c r="AF35" s="101"/>
      <c r="AG35" s="101"/>
      <c r="AH35" s="101"/>
      <c r="AI35" s="101"/>
      <c r="AJ35" s="101"/>
      <c r="AK35" s="101"/>
      <c r="AL35" s="101"/>
      <c r="AM35" s="101"/>
      <c r="AN35" s="101"/>
      <c r="AO35" s="101"/>
    </row>
    <row r="36" spans="1:41">
      <c r="A36" s="149">
        <f t="shared" si="0"/>
        <v>28</v>
      </c>
      <c r="B36" s="140"/>
      <c r="C36" s="137"/>
      <c r="D36" s="141"/>
      <c r="E36" s="104"/>
      <c r="F36" s="101"/>
      <c r="G36" s="101"/>
      <c r="H36" s="101"/>
      <c r="I36" s="101"/>
      <c r="J36" s="101"/>
      <c r="K36" s="101"/>
      <c r="L36" s="101"/>
      <c r="M36" s="101"/>
      <c r="N36" s="101"/>
      <c r="O36" s="101"/>
      <c r="P36" s="101"/>
      <c r="Q36" s="101"/>
      <c r="R36" s="101"/>
      <c r="S36" s="101"/>
      <c r="T36" s="101"/>
      <c r="U36" s="101"/>
      <c r="V36" s="101"/>
      <c r="W36" s="101"/>
      <c r="X36" s="101"/>
      <c r="Y36" s="101"/>
      <c r="Z36" s="101"/>
      <c r="AA36" s="97" t="str">
        <f t="shared" si="4"/>
        <v/>
      </c>
      <c r="AB36" s="98" t="str">
        <f t="shared" ref="AB36" si="15">IF(B37=0,"",+AB35+D37*(B37-B35))</f>
        <v/>
      </c>
      <c r="AC36" s="99" t="str">
        <f t="shared" si="6"/>
        <v/>
      </c>
      <c r="AD36" s="100" t="str">
        <f t="shared" si="7"/>
        <v/>
      </c>
      <c r="AE36" s="101"/>
      <c r="AF36" s="101"/>
      <c r="AG36" s="101"/>
      <c r="AH36" s="101"/>
      <c r="AI36" s="101"/>
      <c r="AJ36" s="101"/>
      <c r="AK36" s="101"/>
      <c r="AL36" s="101"/>
      <c r="AM36" s="101"/>
      <c r="AN36" s="101"/>
      <c r="AO36" s="101"/>
    </row>
    <row r="37" spans="1:41">
      <c r="A37" s="149">
        <f t="shared" si="0"/>
        <v>29</v>
      </c>
      <c r="B37" s="140"/>
      <c r="C37" s="137"/>
      <c r="D37" s="141"/>
      <c r="E37" s="104"/>
      <c r="F37" s="101"/>
      <c r="G37" s="101"/>
      <c r="H37" s="101"/>
      <c r="I37" s="101"/>
      <c r="J37" s="101"/>
      <c r="K37" s="101"/>
      <c r="L37" s="101"/>
      <c r="M37" s="101"/>
      <c r="N37" s="101"/>
      <c r="O37" s="101"/>
      <c r="P37" s="101"/>
      <c r="Q37" s="101"/>
      <c r="R37" s="101"/>
      <c r="S37" s="101"/>
      <c r="T37" s="101"/>
      <c r="U37" s="101"/>
      <c r="V37" s="101"/>
      <c r="W37" s="101"/>
      <c r="X37" s="101"/>
      <c r="Y37" s="101"/>
      <c r="Z37" s="101"/>
      <c r="AA37" s="97" t="str">
        <f t="shared" si="4"/>
        <v/>
      </c>
      <c r="AB37" s="98" t="str">
        <f t="shared" ref="AB37:AB40" si="16">IF(B38=0,"",+AB36+D38*(B38-B37))</f>
        <v/>
      </c>
      <c r="AC37" s="99" t="str">
        <f t="shared" si="6"/>
        <v/>
      </c>
      <c r="AD37" s="100" t="str">
        <f t="shared" si="7"/>
        <v/>
      </c>
      <c r="AE37" s="101"/>
      <c r="AF37" s="101"/>
      <c r="AG37" s="101"/>
      <c r="AH37" s="101"/>
      <c r="AI37" s="101"/>
      <c r="AJ37" s="101"/>
      <c r="AK37" s="101"/>
      <c r="AL37" s="101"/>
      <c r="AM37" s="101"/>
      <c r="AN37" s="101"/>
      <c r="AO37" s="101"/>
    </row>
    <row r="38" spans="1:41">
      <c r="A38" s="149">
        <f t="shared" si="0"/>
        <v>30</v>
      </c>
      <c r="B38" s="140"/>
      <c r="C38" s="137"/>
      <c r="D38" s="141"/>
      <c r="E38" s="104"/>
      <c r="F38" s="101"/>
      <c r="G38" s="101"/>
      <c r="H38" s="101"/>
      <c r="I38" s="101"/>
      <c r="J38" s="101"/>
      <c r="K38" s="101"/>
      <c r="L38" s="101"/>
      <c r="M38" s="101"/>
      <c r="N38" s="101"/>
      <c r="O38" s="101"/>
      <c r="P38" s="101"/>
      <c r="Q38" s="101"/>
      <c r="R38" s="101"/>
      <c r="S38" s="101"/>
      <c r="T38" s="101"/>
      <c r="U38" s="101"/>
      <c r="V38" s="101"/>
      <c r="W38" s="101"/>
      <c r="X38" s="101"/>
      <c r="Y38" s="101"/>
      <c r="Z38" s="101"/>
      <c r="AA38" s="97" t="str">
        <f t="shared" si="4"/>
        <v/>
      </c>
      <c r="AB38" s="98" t="str">
        <f t="shared" si="16"/>
        <v/>
      </c>
      <c r="AC38" s="99" t="str">
        <f t="shared" si="6"/>
        <v/>
      </c>
      <c r="AD38" s="100" t="str">
        <f t="shared" si="7"/>
        <v/>
      </c>
      <c r="AE38" s="101"/>
      <c r="AF38" s="101"/>
      <c r="AG38" s="101"/>
      <c r="AH38" s="101"/>
      <c r="AI38" s="101"/>
      <c r="AJ38" s="101"/>
      <c r="AK38" s="101"/>
      <c r="AL38" s="101"/>
      <c r="AM38" s="101"/>
      <c r="AN38" s="101"/>
      <c r="AO38" s="101"/>
    </row>
    <row r="39" spans="1:41">
      <c r="A39" s="149">
        <f t="shared" si="0"/>
        <v>31</v>
      </c>
      <c r="B39" s="140"/>
      <c r="C39" s="137"/>
      <c r="D39" s="141"/>
      <c r="E39" s="104"/>
      <c r="F39" s="101"/>
      <c r="G39" s="101"/>
      <c r="H39" s="101"/>
      <c r="I39" s="101"/>
      <c r="J39" s="101"/>
      <c r="K39" s="101"/>
      <c r="L39" s="101"/>
      <c r="M39" s="101"/>
      <c r="N39" s="101"/>
      <c r="O39" s="101"/>
      <c r="P39" s="101"/>
      <c r="Q39" s="101"/>
      <c r="R39" s="101"/>
      <c r="S39" s="101"/>
      <c r="T39" s="101"/>
      <c r="U39" s="101"/>
      <c r="V39" s="101"/>
      <c r="W39" s="101"/>
      <c r="X39" s="101"/>
      <c r="Y39" s="101"/>
      <c r="Z39" s="101"/>
      <c r="AA39" s="97" t="str">
        <f t="shared" si="4"/>
        <v/>
      </c>
      <c r="AB39" s="98" t="str">
        <f t="shared" si="16"/>
        <v/>
      </c>
      <c r="AC39" s="99" t="str">
        <f t="shared" si="6"/>
        <v/>
      </c>
      <c r="AD39" s="100" t="str">
        <f t="shared" si="7"/>
        <v/>
      </c>
      <c r="AE39" s="101"/>
      <c r="AF39" s="101"/>
      <c r="AG39" s="101"/>
      <c r="AH39" s="101"/>
      <c r="AI39" s="101"/>
      <c r="AJ39" s="101"/>
      <c r="AK39" s="101"/>
      <c r="AL39" s="101"/>
      <c r="AM39" s="101"/>
      <c r="AN39" s="101"/>
      <c r="AO39" s="101"/>
    </row>
    <row r="40" spans="1:41">
      <c r="A40" s="149">
        <f t="shared" si="0"/>
        <v>32</v>
      </c>
      <c r="B40" s="140"/>
      <c r="C40" s="137"/>
      <c r="D40" s="141"/>
      <c r="E40" s="104"/>
      <c r="F40" s="101"/>
      <c r="G40" s="101"/>
      <c r="H40" s="101"/>
      <c r="I40" s="101"/>
      <c r="J40" s="101"/>
      <c r="K40" s="101"/>
      <c r="L40" s="101"/>
      <c r="M40" s="101"/>
      <c r="N40" s="101"/>
      <c r="O40" s="101"/>
      <c r="P40" s="101"/>
      <c r="Q40" s="101"/>
      <c r="R40" s="101"/>
      <c r="S40" s="101"/>
      <c r="T40" s="101"/>
      <c r="U40" s="101"/>
      <c r="V40" s="101"/>
      <c r="W40" s="101"/>
      <c r="X40" s="101"/>
      <c r="Y40" s="101"/>
      <c r="Z40" s="101"/>
      <c r="AA40" s="97" t="str">
        <f t="shared" si="4"/>
        <v/>
      </c>
      <c r="AB40" s="98" t="str">
        <f t="shared" si="16"/>
        <v/>
      </c>
      <c r="AC40" s="99" t="str">
        <f t="shared" si="6"/>
        <v/>
      </c>
      <c r="AD40" s="100" t="str">
        <f t="shared" si="7"/>
        <v/>
      </c>
      <c r="AE40" s="101"/>
      <c r="AF40" s="101"/>
      <c r="AG40" s="101"/>
      <c r="AH40" s="101"/>
      <c r="AI40" s="101"/>
      <c r="AJ40" s="101"/>
      <c r="AK40" s="101"/>
      <c r="AL40" s="101"/>
      <c r="AM40" s="101"/>
      <c r="AN40" s="101"/>
      <c r="AO40" s="101"/>
    </row>
    <row r="41" spans="1:41">
      <c r="A41" s="149">
        <f t="shared" si="0"/>
        <v>33</v>
      </c>
      <c r="B41" s="140"/>
      <c r="C41" s="137"/>
      <c r="D41" s="141"/>
      <c r="E41" s="104"/>
      <c r="F41" s="101"/>
      <c r="G41" s="101"/>
      <c r="H41" s="101"/>
      <c r="I41" s="101"/>
      <c r="J41" s="101"/>
      <c r="K41" s="101"/>
      <c r="L41" s="101"/>
      <c r="M41" s="101"/>
      <c r="N41" s="101"/>
      <c r="O41" s="101"/>
      <c r="P41" s="101"/>
      <c r="Q41" s="101"/>
      <c r="R41" s="101"/>
      <c r="S41" s="101"/>
      <c r="T41" s="101"/>
      <c r="U41" s="101"/>
      <c r="V41" s="101"/>
      <c r="W41" s="101"/>
      <c r="X41" s="101"/>
      <c r="Y41" s="101"/>
      <c r="Z41" s="101"/>
      <c r="AA41" s="97" t="str">
        <f t="shared" si="4"/>
        <v/>
      </c>
      <c r="AB41" s="98" t="str">
        <f t="shared" ref="AB41" si="17">IF(B42=0,"",+AB40+D42*(B42-B40))</f>
        <v/>
      </c>
      <c r="AC41" s="99" t="str">
        <f t="shared" si="6"/>
        <v/>
      </c>
      <c r="AD41" s="100" t="str">
        <f t="shared" si="7"/>
        <v/>
      </c>
      <c r="AE41" s="101"/>
      <c r="AF41" s="101"/>
      <c r="AG41" s="101"/>
      <c r="AH41" s="101"/>
      <c r="AI41" s="101"/>
      <c r="AJ41" s="101"/>
      <c r="AK41" s="101"/>
      <c r="AL41" s="101"/>
      <c r="AM41" s="101"/>
      <c r="AN41" s="101"/>
      <c r="AO41" s="101"/>
    </row>
    <row r="42" spans="1:41">
      <c r="A42" s="149">
        <f t="shared" si="0"/>
        <v>34</v>
      </c>
      <c r="B42" s="140"/>
      <c r="C42" s="137"/>
      <c r="D42" s="141"/>
      <c r="E42" s="104"/>
      <c r="F42" s="101"/>
      <c r="G42" s="101"/>
      <c r="H42" s="101"/>
      <c r="I42" s="101"/>
      <c r="J42" s="101"/>
      <c r="K42" s="101"/>
      <c r="L42" s="101"/>
      <c r="M42" s="101"/>
      <c r="N42" s="101"/>
      <c r="O42" s="101"/>
      <c r="P42" s="101"/>
      <c r="Q42" s="101"/>
      <c r="R42" s="101"/>
      <c r="S42" s="101"/>
      <c r="T42" s="101"/>
      <c r="U42" s="101"/>
      <c r="V42" s="101"/>
      <c r="W42" s="101"/>
      <c r="X42" s="101"/>
      <c r="Y42" s="101"/>
      <c r="Z42" s="101"/>
      <c r="AA42" s="97" t="str">
        <f t="shared" si="4"/>
        <v/>
      </c>
      <c r="AB42" s="98" t="str">
        <f t="shared" ref="AB42:AB43" si="18">IF(B43=0,"",+AB41+D43*(B43-B42))</f>
        <v/>
      </c>
      <c r="AC42" s="99" t="str">
        <f t="shared" si="6"/>
        <v/>
      </c>
      <c r="AD42" s="100" t="str">
        <f t="shared" si="7"/>
        <v/>
      </c>
      <c r="AE42" s="101"/>
      <c r="AF42" s="101"/>
      <c r="AG42" s="101"/>
      <c r="AH42" s="101"/>
      <c r="AI42" s="101"/>
      <c r="AJ42" s="101"/>
      <c r="AK42" s="101"/>
      <c r="AL42" s="101"/>
      <c r="AM42" s="101"/>
      <c r="AN42" s="101"/>
      <c r="AO42" s="101"/>
    </row>
    <row r="43" spans="1:41">
      <c r="A43" s="149">
        <f t="shared" si="0"/>
        <v>35</v>
      </c>
      <c r="B43" s="140"/>
      <c r="C43" s="137"/>
      <c r="D43" s="141"/>
      <c r="E43" s="104"/>
      <c r="F43" s="101"/>
      <c r="G43" s="101"/>
      <c r="H43" s="101"/>
      <c r="I43" s="101"/>
      <c r="J43" s="101"/>
      <c r="K43" s="101"/>
      <c r="L43" s="101"/>
      <c r="M43" s="101"/>
      <c r="N43" s="101"/>
      <c r="O43" s="101"/>
      <c r="P43" s="101"/>
      <c r="Q43" s="101"/>
      <c r="R43" s="101"/>
      <c r="S43" s="101"/>
      <c r="T43" s="101"/>
      <c r="U43" s="101"/>
      <c r="V43" s="101"/>
      <c r="W43" s="101"/>
      <c r="X43" s="101"/>
      <c r="Y43" s="101"/>
      <c r="Z43" s="101"/>
      <c r="AA43" s="97" t="str">
        <f t="shared" si="4"/>
        <v/>
      </c>
      <c r="AB43" s="98" t="str">
        <f t="shared" si="18"/>
        <v/>
      </c>
      <c r="AC43" s="99" t="str">
        <f t="shared" si="6"/>
        <v/>
      </c>
      <c r="AD43" s="100" t="str">
        <f t="shared" si="7"/>
        <v/>
      </c>
      <c r="AE43" s="101"/>
      <c r="AF43" s="101"/>
      <c r="AG43" s="101"/>
      <c r="AH43" s="101"/>
      <c r="AI43" s="101"/>
      <c r="AJ43" s="101"/>
      <c r="AK43" s="101"/>
      <c r="AL43" s="101"/>
      <c r="AM43" s="101"/>
      <c r="AN43" s="101"/>
      <c r="AO43" s="101"/>
    </row>
    <row r="44" spans="1:41" ht="16.5" thickBot="1">
      <c r="A44" s="149">
        <f t="shared" si="0"/>
        <v>36</v>
      </c>
      <c r="B44" s="140"/>
      <c r="C44" s="137"/>
      <c r="D44" s="142"/>
      <c r="E44" s="106"/>
      <c r="AA44" s="97" t="str">
        <f t="shared" ref="AA44" si="19">IF(B44=0,"",+C44/$H$15)</f>
        <v/>
      </c>
      <c r="AB44" s="98" t="str">
        <f t="shared" ref="AB44" si="20">IF(B44=0,"",+AB43+D44*(B44-B43))</f>
        <v/>
      </c>
      <c r="AC44" s="99" t="str">
        <f t="shared" ref="AC44" si="21">IF(B44=0,"",(AB44-AB43)*C44/1000000)</f>
        <v/>
      </c>
      <c r="AD44" s="100" t="str">
        <f t="shared" ref="AD44" si="22">IF(B44=0,"",+AD43+AC44)</f>
        <v/>
      </c>
      <c r="AE44" s="101"/>
      <c r="AF44" s="101"/>
      <c r="AG44" s="101"/>
      <c r="AH44" s="101"/>
      <c r="AI44" s="101"/>
      <c r="AJ44" s="101"/>
      <c r="AK44" s="101"/>
      <c r="AL44" s="101"/>
      <c r="AM44" s="101"/>
      <c r="AN44" s="101"/>
      <c r="AO44" s="101"/>
    </row>
    <row r="45" spans="1:41" ht="16.5" thickTop="1">
      <c r="A45" s="138"/>
      <c r="B45" s="143">
        <f>MAX(B8:B44)</f>
        <v>46</v>
      </c>
      <c r="C45" s="144">
        <f>MAX(C8:C44)</f>
        <v>210000</v>
      </c>
      <c r="D45" s="145">
        <f>SUM(D8:D44)/COUNTA(D8:D44)</f>
        <v>7.1111111111111107</v>
      </c>
      <c r="AA45" s="107"/>
      <c r="AB45" s="108">
        <f>MAX(AB8:AB44)</f>
        <v>360</v>
      </c>
      <c r="AC45" s="109">
        <f>SUM(AC8:AC44)</f>
        <v>29.612479999999998</v>
      </c>
      <c r="AD45" s="110">
        <f>MAX(AD8:AD44)</f>
        <v>29.612479999999998</v>
      </c>
      <c r="AE45" s="101"/>
      <c r="AF45" s="101"/>
      <c r="AG45" s="101"/>
      <c r="AH45" s="101"/>
      <c r="AI45" s="101"/>
      <c r="AJ45" s="101"/>
      <c r="AK45" s="101"/>
      <c r="AL45" s="101"/>
      <c r="AM45" s="101"/>
      <c r="AN45" s="101"/>
      <c r="AO45" s="101"/>
    </row>
    <row r="46" spans="1:41" ht="16.5" thickBot="1">
      <c r="A46" s="139"/>
      <c r="B46" s="146" t="s">
        <v>17</v>
      </c>
      <c r="C46" s="147" t="s">
        <v>17</v>
      </c>
      <c r="D46" s="148" t="s">
        <v>18</v>
      </c>
      <c r="E46" s="111"/>
      <c r="F46" s="111"/>
      <c r="G46" s="111"/>
      <c r="H46" s="111"/>
      <c r="I46" s="111"/>
      <c r="J46" s="111"/>
      <c r="K46" s="111"/>
      <c r="L46" s="111"/>
      <c r="M46" s="111"/>
      <c r="N46" s="111"/>
      <c r="O46" s="111"/>
      <c r="P46" s="111"/>
      <c r="Q46" s="111"/>
      <c r="R46" s="111"/>
      <c r="S46" s="111"/>
      <c r="T46" s="111"/>
      <c r="U46" s="111"/>
      <c r="V46" s="111"/>
      <c r="W46" s="111"/>
      <c r="X46" s="111"/>
      <c r="Y46" s="111"/>
      <c r="Z46" s="111"/>
      <c r="AA46" s="112"/>
      <c r="AB46" s="113" t="s">
        <v>17</v>
      </c>
      <c r="AC46" s="113" t="s">
        <v>19</v>
      </c>
      <c r="AD46" s="114" t="s">
        <v>17</v>
      </c>
      <c r="AE46" s="101"/>
      <c r="AF46" s="101"/>
      <c r="AG46" s="101"/>
      <c r="AH46" s="101"/>
      <c r="AI46" s="101"/>
      <c r="AJ46" s="101"/>
      <c r="AK46" s="101"/>
      <c r="AL46" s="101"/>
      <c r="AM46" s="101"/>
      <c r="AN46" s="101"/>
      <c r="AO46" s="101"/>
    </row>
    <row r="47" spans="1:41" ht="16.5" thickTop="1">
      <c r="A47" s="115"/>
      <c r="B47" s="116"/>
      <c r="C47" s="117"/>
      <c r="D47" s="116"/>
      <c r="E47" s="101"/>
      <c r="F47" s="101"/>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c r="AO47" s="101"/>
    </row>
    <row r="48" spans="1:41">
      <c r="A48" s="115"/>
      <c r="B48" s="116"/>
      <c r="C48" s="117"/>
      <c r="D48" s="116"/>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row>
    <row r="49" spans="1:41">
      <c r="A49" s="115"/>
      <c r="B49" s="116"/>
      <c r="C49" s="117"/>
      <c r="D49" s="116"/>
      <c r="E49" s="101"/>
      <c r="F49" s="101"/>
      <c r="G49" s="101"/>
      <c r="H49" s="101"/>
      <c r="I49" s="101"/>
      <c r="J49" s="101"/>
      <c r="K49" s="101"/>
      <c r="L49" s="101"/>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row>
    <row r="50" spans="1:41">
      <c r="A50" s="115"/>
      <c r="B50" s="116"/>
      <c r="C50" s="117"/>
      <c r="D50" s="116"/>
      <c r="E50" s="101"/>
      <c r="F50" s="101"/>
      <c r="G50" s="101"/>
      <c r="H50" s="101"/>
      <c r="I50" s="101"/>
      <c r="J50" s="101"/>
      <c r="K50" s="101"/>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row>
    <row r="51" spans="1:41">
      <c r="A51" s="115"/>
      <c r="B51" s="116"/>
      <c r="C51" s="117"/>
      <c r="D51" s="116"/>
      <c r="E51" s="101"/>
      <c r="F51" s="101"/>
      <c r="G51" s="101"/>
      <c r="H51" s="101"/>
      <c r="I51" s="101"/>
      <c r="J51" s="101"/>
      <c r="K51" s="101"/>
      <c r="L51" s="101"/>
      <c r="M51" s="101"/>
      <c r="N51" s="101"/>
      <c r="O51" s="101"/>
      <c r="P51" s="101"/>
      <c r="Q51" s="101"/>
      <c r="R51" s="101"/>
      <c r="S51" s="101"/>
      <c r="T51" s="101"/>
      <c r="U51" s="101"/>
      <c r="V51" s="101"/>
      <c r="W51" s="101"/>
      <c r="X51" s="101"/>
      <c r="Y51" s="101"/>
      <c r="Z51" s="101"/>
      <c r="AA51" s="101"/>
      <c r="AB51" s="101"/>
      <c r="AC51" s="101"/>
      <c r="AD51" s="101"/>
      <c r="AE51" s="101"/>
      <c r="AF51" s="101"/>
      <c r="AG51" s="101"/>
      <c r="AH51" s="101"/>
      <c r="AI51" s="101"/>
      <c r="AJ51" s="101"/>
      <c r="AK51" s="101"/>
      <c r="AL51" s="101"/>
      <c r="AM51" s="101"/>
      <c r="AN51" s="101"/>
      <c r="AO51" s="101"/>
    </row>
    <row r="52" spans="1:41">
      <c r="A52" s="115"/>
      <c r="B52" s="116"/>
      <c r="C52" s="117"/>
      <c r="D52" s="118"/>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1"/>
      <c r="AH52" s="101"/>
      <c r="AI52" s="101"/>
      <c r="AJ52" s="101"/>
      <c r="AK52" s="101"/>
      <c r="AL52" s="101"/>
      <c r="AM52" s="101"/>
      <c r="AN52" s="101"/>
      <c r="AO52" s="101"/>
    </row>
    <row r="53" spans="1:41">
      <c r="A53" s="115"/>
      <c r="B53" s="116"/>
      <c r="C53" s="117"/>
      <c r="D53" s="118"/>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1"/>
      <c r="AH53" s="101"/>
      <c r="AI53" s="101"/>
      <c r="AJ53" s="101"/>
      <c r="AK53" s="101"/>
      <c r="AL53" s="101"/>
      <c r="AM53" s="101"/>
      <c r="AN53" s="101"/>
      <c r="AO53" s="101"/>
    </row>
    <row r="54" spans="1:41">
      <c r="A54" s="115"/>
      <c r="B54" s="116"/>
      <c r="C54" s="117"/>
      <c r="D54" s="116"/>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row>
    <row r="55" spans="1:41">
      <c r="A55" s="115"/>
      <c r="B55" s="116"/>
      <c r="C55" s="117"/>
      <c r="D55" s="118"/>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1"/>
      <c r="AE55" s="96"/>
      <c r="AF55" s="101"/>
      <c r="AG55" s="101"/>
      <c r="AH55" s="101"/>
      <c r="AI55" s="101"/>
      <c r="AJ55" s="101"/>
      <c r="AK55" s="101"/>
      <c r="AL55" s="101"/>
      <c r="AM55" s="101"/>
      <c r="AN55" s="101"/>
      <c r="AO55" s="101"/>
    </row>
    <row r="56" spans="1:41">
      <c r="A56" s="115"/>
      <c r="B56" s="116"/>
      <c r="C56" s="117"/>
      <c r="D56" s="118"/>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1"/>
      <c r="AE56" s="96"/>
      <c r="AF56" s="101"/>
      <c r="AG56" s="101"/>
      <c r="AH56" s="101"/>
      <c r="AI56" s="101"/>
      <c r="AJ56" s="101"/>
      <c r="AK56" s="101"/>
      <c r="AL56" s="101"/>
      <c r="AM56" s="101"/>
      <c r="AN56" s="101"/>
      <c r="AO56" s="101"/>
    </row>
    <row r="57" spans="1:41">
      <c r="A57" s="115"/>
      <c r="B57" s="116"/>
      <c r="C57" s="117"/>
      <c r="D57" s="118"/>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1"/>
      <c r="AE57" s="96"/>
      <c r="AF57" s="101"/>
      <c r="AG57" s="101"/>
      <c r="AH57" s="101"/>
      <c r="AI57" s="101"/>
      <c r="AJ57" s="101"/>
      <c r="AK57" s="101"/>
      <c r="AL57" s="101"/>
      <c r="AM57" s="101"/>
      <c r="AN57" s="101"/>
      <c r="AO57" s="101"/>
    </row>
    <row r="58" spans="1:41">
      <c r="A58" s="115"/>
      <c r="B58" s="116"/>
      <c r="C58" s="117"/>
      <c r="D58" s="118"/>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1"/>
      <c r="AE58" s="96"/>
      <c r="AF58" s="101"/>
      <c r="AG58" s="101"/>
      <c r="AH58" s="101"/>
      <c r="AI58" s="101"/>
      <c r="AJ58" s="101"/>
      <c r="AK58" s="101"/>
      <c r="AL58" s="101"/>
      <c r="AM58" s="101"/>
      <c r="AN58" s="101"/>
      <c r="AO58" s="101"/>
    </row>
    <row r="59" spans="1:41">
      <c r="A59" s="115"/>
      <c r="B59" s="116"/>
      <c r="C59" s="117"/>
      <c r="D59" s="118"/>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1"/>
      <c r="AE59" s="96"/>
      <c r="AF59" s="101"/>
      <c r="AG59" s="101"/>
      <c r="AH59" s="101"/>
      <c r="AI59" s="101"/>
      <c r="AJ59" s="101"/>
      <c r="AK59" s="101"/>
      <c r="AL59" s="101"/>
      <c r="AM59" s="101"/>
      <c r="AN59" s="101"/>
      <c r="AO59" s="101"/>
    </row>
    <row r="60" spans="1:41">
      <c r="A60" s="115"/>
      <c r="B60" s="116"/>
      <c r="C60" s="117"/>
      <c r="D60" s="118"/>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1"/>
      <c r="AE60" s="96"/>
      <c r="AF60" s="101"/>
      <c r="AG60" s="101"/>
      <c r="AH60" s="101"/>
      <c r="AI60" s="101"/>
      <c r="AJ60" s="101"/>
      <c r="AK60" s="101"/>
      <c r="AL60" s="101"/>
      <c r="AM60" s="101"/>
      <c r="AN60" s="101"/>
      <c r="AO60" s="101"/>
    </row>
    <row r="61" spans="1:41">
      <c r="A61" s="115"/>
      <c r="B61" s="116"/>
      <c r="C61" s="117"/>
      <c r="D61" s="118"/>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1"/>
      <c r="AE61" s="96"/>
      <c r="AF61" s="101"/>
      <c r="AG61" s="101"/>
      <c r="AH61" s="101"/>
      <c r="AI61" s="101"/>
      <c r="AJ61" s="101"/>
      <c r="AK61" s="101"/>
      <c r="AL61" s="101"/>
      <c r="AM61" s="101"/>
      <c r="AN61" s="101"/>
      <c r="AO61" s="101"/>
    </row>
    <row r="62" spans="1:41">
      <c r="A62" s="115"/>
      <c r="B62" s="116"/>
      <c r="C62" s="117"/>
      <c r="D62" s="118"/>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1"/>
      <c r="AE62" s="96"/>
      <c r="AF62" s="101"/>
      <c r="AG62" s="101"/>
      <c r="AH62" s="101"/>
      <c r="AI62" s="101"/>
      <c r="AJ62" s="101"/>
      <c r="AK62" s="101"/>
      <c r="AL62" s="101"/>
      <c r="AM62" s="101"/>
      <c r="AN62" s="101"/>
      <c r="AO62" s="101"/>
    </row>
    <row r="63" spans="1:41">
      <c r="A63" s="115"/>
      <c r="B63" s="116"/>
      <c r="C63" s="117"/>
      <c r="D63" s="118"/>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1"/>
      <c r="AE63" s="96"/>
      <c r="AF63" s="101"/>
      <c r="AG63" s="101"/>
      <c r="AH63" s="101"/>
      <c r="AI63" s="101"/>
      <c r="AJ63" s="101"/>
      <c r="AK63" s="101"/>
      <c r="AL63" s="101"/>
      <c r="AM63" s="101"/>
      <c r="AN63" s="101"/>
      <c r="AO63" s="101"/>
    </row>
    <row r="64" spans="1:41">
      <c r="A64" s="115"/>
      <c r="B64" s="116"/>
      <c r="C64" s="117"/>
      <c r="D64" s="118"/>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1"/>
      <c r="AE64" s="96"/>
      <c r="AF64" s="101"/>
      <c r="AG64" s="101"/>
      <c r="AH64" s="101"/>
      <c r="AI64" s="101"/>
      <c r="AJ64" s="101"/>
      <c r="AK64" s="101"/>
      <c r="AL64" s="101"/>
      <c r="AM64" s="101"/>
      <c r="AN64" s="101"/>
      <c r="AO64" s="101"/>
    </row>
    <row r="65" spans="1:41">
      <c r="A65" s="115"/>
      <c r="B65" s="116"/>
      <c r="C65" s="117"/>
      <c r="D65" s="116"/>
      <c r="E65" s="101"/>
      <c r="F65" s="101"/>
      <c r="G65" s="101"/>
      <c r="H65" s="101"/>
      <c r="I65" s="101"/>
      <c r="J65" s="101"/>
      <c r="K65" s="101"/>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row>
    <row r="66" spans="1:41">
      <c r="A66" s="115"/>
      <c r="B66" s="116"/>
      <c r="C66" s="117"/>
      <c r="D66" s="118"/>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1"/>
      <c r="AD66" s="101"/>
      <c r="AE66" s="101"/>
      <c r="AF66" s="101"/>
      <c r="AG66" s="101"/>
      <c r="AH66" s="101"/>
      <c r="AI66" s="101"/>
      <c r="AJ66" s="101"/>
      <c r="AK66" s="101"/>
      <c r="AL66" s="101"/>
      <c r="AM66" s="101"/>
      <c r="AN66" s="101"/>
      <c r="AO66" s="101"/>
    </row>
    <row r="67" spans="1:41">
      <c r="A67" s="115"/>
      <c r="B67" s="116"/>
      <c r="C67" s="117"/>
      <c r="D67" s="118"/>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1"/>
      <c r="AD67" s="101"/>
      <c r="AE67" s="96"/>
      <c r="AF67" s="101"/>
      <c r="AG67" s="101"/>
      <c r="AH67" s="101"/>
      <c r="AI67" s="101"/>
      <c r="AJ67" s="101"/>
      <c r="AK67" s="101"/>
      <c r="AL67" s="101"/>
      <c r="AM67" s="101"/>
      <c r="AN67" s="101"/>
      <c r="AO67" s="101"/>
    </row>
    <row r="68" spans="1:41">
      <c r="A68" s="115"/>
      <c r="B68" s="116"/>
      <c r="C68" s="117"/>
      <c r="D68" s="118"/>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1"/>
      <c r="AD68" s="101"/>
      <c r="AE68" s="101"/>
      <c r="AF68" s="101"/>
      <c r="AG68" s="101"/>
      <c r="AH68" s="101"/>
      <c r="AI68" s="101"/>
      <c r="AJ68" s="101"/>
      <c r="AK68" s="101"/>
      <c r="AL68" s="101"/>
      <c r="AM68" s="101"/>
      <c r="AN68" s="101"/>
      <c r="AO68" s="101"/>
    </row>
    <row r="69" spans="1:41">
      <c r="A69" s="115"/>
      <c r="B69" s="116"/>
      <c r="C69" s="117"/>
      <c r="D69" s="116"/>
      <c r="E69" s="101"/>
      <c r="F69" s="101"/>
      <c r="G69" s="101"/>
      <c r="H69" s="101"/>
      <c r="I69" s="101"/>
      <c r="J69" s="101"/>
      <c r="K69" s="101"/>
      <c r="L69" s="101"/>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row>
    <row r="70" spans="1:41">
      <c r="A70" s="115"/>
      <c r="B70" s="116"/>
      <c r="C70" s="117"/>
      <c r="D70" s="118"/>
      <c r="E70" s="102"/>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1"/>
      <c r="AD70" s="101"/>
      <c r="AE70" s="101"/>
      <c r="AF70" s="101"/>
      <c r="AG70" s="101"/>
      <c r="AH70" s="101"/>
      <c r="AI70" s="101"/>
      <c r="AJ70" s="101"/>
      <c r="AK70" s="101"/>
      <c r="AL70" s="101"/>
      <c r="AM70" s="101"/>
      <c r="AN70" s="101"/>
      <c r="AO70" s="101"/>
    </row>
    <row r="71" spans="1:41">
      <c r="A71" s="115"/>
      <c r="B71" s="116"/>
      <c r="C71" s="117"/>
      <c r="D71" s="118"/>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1"/>
      <c r="AD71" s="101"/>
      <c r="AE71" s="101"/>
      <c r="AF71" s="101"/>
      <c r="AG71" s="101"/>
      <c r="AH71" s="101"/>
      <c r="AI71" s="101"/>
      <c r="AJ71" s="101"/>
      <c r="AK71" s="101"/>
      <c r="AL71" s="101"/>
      <c r="AM71" s="101"/>
      <c r="AN71" s="101"/>
      <c r="AO71" s="101"/>
    </row>
    <row r="72" spans="1:41">
      <c r="A72" s="115"/>
      <c r="B72" s="116"/>
      <c r="C72" s="117"/>
      <c r="D72" s="118"/>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1"/>
      <c r="AD72" s="101"/>
      <c r="AE72" s="101"/>
      <c r="AF72" s="101"/>
      <c r="AG72" s="101"/>
      <c r="AH72" s="101"/>
      <c r="AI72" s="101"/>
      <c r="AJ72" s="101"/>
      <c r="AK72" s="101"/>
      <c r="AL72" s="101"/>
      <c r="AM72" s="101"/>
      <c r="AN72" s="101"/>
      <c r="AO72" s="101"/>
    </row>
    <row r="73" spans="1:41">
      <c r="A73" s="115"/>
      <c r="B73" s="116"/>
      <c r="C73" s="117"/>
      <c r="D73" s="116"/>
      <c r="E73" s="101"/>
      <c r="F73" s="101"/>
      <c r="G73" s="101"/>
      <c r="H73" s="101"/>
      <c r="I73" s="101"/>
      <c r="J73" s="101"/>
      <c r="K73" s="101"/>
      <c r="L73" s="101"/>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row>
    <row r="74" spans="1:41">
      <c r="A74" s="119"/>
      <c r="B74" s="116"/>
      <c r="C74" s="117"/>
      <c r="D74" s="116"/>
      <c r="E74" s="101"/>
      <c r="F74" s="101"/>
      <c r="G74" s="101"/>
      <c r="H74" s="101"/>
      <c r="I74" s="101"/>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row>
    <row r="75" spans="1:41">
      <c r="A75" s="119"/>
      <c r="B75" s="118"/>
      <c r="C75" s="117"/>
      <c r="D75" s="116"/>
      <c r="E75" s="101"/>
      <c r="F75" s="101"/>
      <c r="G75" s="101"/>
      <c r="H75" s="101"/>
      <c r="I75" s="101"/>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row>
    <row r="76" spans="1:41">
      <c r="A76" s="119"/>
      <c r="B76" s="118"/>
      <c r="C76" s="117"/>
      <c r="D76" s="116"/>
      <c r="E76" s="101"/>
      <c r="F76" s="101"/>
      <c r="G76" s="101"/>
      <c r="H76" s="101"/>
      <c r="I76" s="101"/>
      <c r="J76" s="101"/>
      <c r="K76" s="101"/>
      <c r="L76" s="101"/>
      <c r="M76" s="101"/>
      <c r="N76" s="101"/>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row>
    <row r="77" spans="1:41">
      <c r="A77" s="119"/>
      <c r="B77" s="118"/>
      <c r="C77" s="117"/>
      <c r="D77" s="116"/>
      <c r="E77" s="101"/>
      <c r="F77" s="101"/>
      <c r="G77" s="101"/>
      <c r="H77" s="101"/>
      <c r="I77" s="101"/>
      <c r="J77" s="101"/>
      <c r="K77" s="101"/>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row>
    <row r="78" spans="1:41">
      <c r="A78" s="119"/>
      <c r="B78" s="118"/>
      <c r="C78" s="117"/>
      <c r="D78" s="116"/>
      <c r="E78" s="101"/>
      <c r="F78" s="101"/>
      <c r="G78" s="101"/>
      <c r="H78" s="101"/>
      <c r="I78" s="101"/>
      <c r="J78" s="101"/>
      <c r="K78" s="101"/>
      <c r="L78" s="101"/>
      <c r="M78" s="101"/>
      <c r="N78" s="101"/>
      <c r="O78" s="101"/>
      <c r="P78" s="101"/>
      <c r="Q78" s="101"/>
      <c r="R78" s="101"/>
      <c r="S78" s="101"/>
      <c r="T78" s="101"/>
      <c r="U78" s="101"/>
      <c r="V78" s="101"/>
      <c r="W78" s="101"/>
      <c r="X78" s="101"/>
      <c r="Y78" s="101"/>
      <c r="Z78" s="101"/>
      <c r="AA78" s="101"/>
      <c r="AB78" s="101"/>
      <c r="AC78" s="101"/>
      <c r="AD78" s="101"/>
      <c r="AE78" s="101"/>
      <c r="AF78" s="101"/>
      <c r="AG78" s="101"/>
      <c r="AH78" s="101"/>
      <c r="AI78" s="101"/>
      <c r="AJ78" s="101"/>
      <c r="AK78" s="101"/>
      <c r="AL78" s="101"/>
      <c r="AM78" s="101"/>
      <c r="AN78" s="101"/>
      <c r="AO78" s="101"/>
    </row>
    <row r="79" spans="1:41">
      <c r="A79" s="119"/>
      <c r="B79" s="118"/>
      <c r="C79" s="117"/>
      <c r="D79" s="116"/>
      <c r="E79" s="101"/>
      <c r="F79" s="101"/>
      <c r="G79" s="101"/>
      <c r="H79" s="101"/>
      <c r="I79" s="101"/>
      <c r="J79" s="101"/>
      <c r="K79" s="101"/>
      <c r="L79" s="101"/>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row>
    <row r="80" spans="1:41">
      <c r="A80" s="119"/>
      <c r="B80" s="118"/>
      <c r="C80" s="117"/>
      <c r="D80" s="116"/>
      <c r="E80" s="101"/>
      <c r="F80" s="101"/>
      <c r="G80" s="101"/>
      <c r="H80" s="101"/>
      <c r="I80" s="101"/>
      <c r="J80" s="101"/>
      <c r="K80" s="101"/>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row>
    <row r="81" spans="1:41">
      <c r="A81" s="119"/>
      <c r="B81" s="118"/>
      <c r="C81" s="117"/>
      <c r="D81" s="116"/>
      <c r="E81" s="101"/>
      <c r="F81" s="101"/>
      <c r="G81" s="101"/>
      <c r="H81" s="101"/>
      <c r="I81" s="101"/>
      <c r="J81" s="101"/>
      <c r="K81" s="101"/>
      <c r="L81" s="101"/>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row>
    <row r="82" spans="1:41">
      <c r="A82" s="115"/>
      <c r="B82" s="116"/>
      <c r="C82" s="117"/>
      <c r="D82" s="116"/>
      <c r="E82" s="101"/>
      <c r="F82" s="101"/>
      <c r="G82" s="101"/>
      <c r="H82" s="101"/>
      <c r="I82" s="101"/>
      <c r="J82" s="101"/>
      <c r="K82" s="101"/>
      <c r="L82" s="101"/>
      <c r="M82" s="101"/>
      <c r="N82" s="101"/>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row>
    <row r="83" spans="1:41">
      <c r="A83" s="115"/>
      <c r="B83" s="116"/>
      <c r="C83" s="117"/>
      <c r="D83" s="116"/>
      <c r="E83" s="101"/>
      <c r="F83" s="101"/>
      <c r="G83" s="101"/>
      <c r="H83" s="101"/>
      <c r="I83" s="101"/>
      <c r="J83" s="101"/>
      <c r="K83" s="101"/>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row>
    <row r="84" spans="1:41">
      <c r="A84" s="115"/>
      <c r="B84" s="116"/>
      <c r="C84" s="117"/>
      <c r="D84" s="116"/>
      <c r="E84" s="101"/>
      <c r="F84" s="101"/>
      <c r="G84" s="101"/>
      <c r="H84" s="101"/>
      <c r="I84" s="101"/>
      <c r="J84" s="101"/>
      <c r="K84" s="101"/>
      <c r="L84" s="101"/>
      <c r="M84" s="101"/>
      <c r="N84" s="101"/>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row>
    <row r="85" spans="1:41">
      <c r="A85" s="115"/>
      <c r="B85" s="116"/>
      <c r="C85" s="117"/>
      <c r="D85" s="116"/>
      <c r="E85" s="101"/>
      <c r="F85" s="101"/>
      <c r="G85" s="101"/>
      <c r="H85" s="101"/>
      <c r="I85" s="101"/>
      <c r="J85" s="101"/>
      <c r="K85" s="101"/>
      <c r="L85" s="101"/>
      <c r="M85" s="101"/>
      <c r="N85" s="101"/>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row>
    <row r="86" spans="1:41">
      <c r="A86" s="115"/>
      <c r="B86" s="116"/>
      <c r="C86" s="117"/>
      <c r="D86" s="116"/>
      <c r="E86" s="101"/>
      <c r="F86" s="101"/>
      <c r="G86" s="101"/>
      <c r="H86" s="101"/>
      <c r="I86" s="101"/>
      <c r="J86" s="101"/>
      <c r="K86" s="101"/>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row>
    <row r="87" spans="1:41">
      <c r="A87" s="115"/>
      <c r="B87" s="116"/>
      <c r="C87" s="117"/>
      <c r="D87" s="116"/>
      <c r="E87" s="101"/>
      <c r="F87" s="101"/>
      <c r="G87" s="101"/>
      <c r="H87" s="101"/>
      <c r="I87" s="101"/>
      <c r="J87" s="101"/>
      <c r="K87" s="101"/>
      <c r="L87" s="101"/>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row>
    <row r="88" spans="1:41">
      <c r="A88" s="115"/>
      <c r="B88" s="116"/>
      <c r="C88" s="117"/>
      <c r="D88" s="116"/>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row>
    <row r="89" spans="1:41">
      <c r="A89" s="115"/>
      <c r="B89" s="116"/>
      <c r="C89" s="117"/>
      <c r="D89" s="116"/>
      <c r="E89" s="101"/>
      <c r="F89" s="101"/>
      <c r="G89" s="101"/>
      <c r="H89" s="101"/>
      <c r="I89" s="101"/>
      <c r="J89" s="101"/>
      <c r="K89" s="101"/>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row>
    <row r="90" spans="1:41">
      <c r="A90" s="115"/>
      <c r="B90" s="116"/>
      <c r="C90" s="117"/>
      <c r="D90" s="116"/>
      <c r="E90" s="101"/>
      <c r="F90" s="101"/>
      <c r="G90" s="101"/>
      <c r="H90" s="101"/>
      <c r="I90" s="101"/>
      <c r="J90" s="101"/>
      <c r="K90" s="101"/>
      <c r="L90" s="101"/>
      <c r="M90" s="101"/>
      <c r="N90" s="101"/>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row>
    <row r="91" spans="1:41">
      <c r="A91" s="115"/>
      <c r="B91" s="116"/>
      <c r="C91" s="117"/>
      <c r="D91" s="116"/>
      <c r="E91" s="101"/>
      <c r="F91" s="101"/>
      <c r="G91" s="101"/>
      <c r="H91" s="101"/>
      <c r="I91" s="101"/>
      <c r="J91" s="101"/>
      <c r="K91" s="101"/>
      <c r="L91" s="101"/>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row>
    <row r="92" spans="1:41">
      <c r="A92" s="115"/>
      <c r="B92" s="116"/>
      <c r="C92" s="117"/>
      <c r="D92" s="116"/>
      <c r="E92" s="101"/>
      <c r="F92" s="101"/>
      <c r="G92" s="101"/>
      <c r="H92" s="101"/>
      <c r="I92" s="101"/>
      <c r="J92" s="101"/>
      <c r="K92" s="101"/>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row>
    <row r="93" spans="1:41">
      <c r="A93" s="115"/>
      <c r="B93" s="116"/>
      <c r="C93" s="117"/>
      <c r="D93" s="116"/>
      <c r="E93" s="101"/>
      <c r="F93" s="101"/>
      <c r="G93" s="101"/>
      <c r="H93" s="101"/>
      <c r="I93" s="101"/>
      <c r="J93" s="101"/>
      <c r="K93" s="101"/>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row>
    <row r="94" spans="1:41">
      <c r="A94" s="115"/>
      <c r="B94" s="116"/>
      <c r="C94" s="117"/>
      <c r="D94" s="116"/>
      <c r="E94" s="101"/>
      <c r="F94" s="101"/>
      <c r="G94" s="101"/>
      <c r="H94" s="101"/>
      <c r="I94" s="101"/>
      <c r="J94" s="101"/>
      <c r="K94" s="101"/>
      <c r="L94" s="101"/>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row>
    <row r="95" spans="1:41">
      <c r="A95" s="115"/>
      <c r="B95" s="116"/>
      <c r="C95" s="117"/>
      <c r="D95" s="116"/>
      <c r="E95" s="101"/>
      <c r="F95" s="101"/>
      <c r="G95" s="101"/>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row>
    <row r="96" spans="1:41">
      <c r="A96" s="115"/>
      <c r="B96" s="116"/>
      <c r="C96" s="117"/>
      <c r="D96" s="116"/>
      <c r="E96" s="101"/>
      <c r="F96" s="101"/>
      <c r="G96" s="101"/>
      <c r="H96" s="101"/>
      <c r="I96" s="101"/>
      <c r="J96" s="101"/>
      <c r="K96" s="101"/>
      <c r="L96" s="101"/>
      <c r="M96" s="101"/>
      <c r="N96" s="101"/>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row>
    <row r="97" spans="1:41">
      <c r="A97" s="115"/>
      <c r="B97" s="116"/>
      <c r="C97" s="117"/>
      <c r="D97" s="116"/>
      <c r="E97" s="101"/>
      <c r="F97" s="101"/>
      <c r="G97" s="101"/>
      <c r="H97" s="101"/>
      <c r="I97" s="101"/>
      <c r="J97" s="101"/>
      <c r="K97" s="101"/>
      <c r="L97" s="101"/>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row>
    <row r="98" spans="1:41">
      <c r="A98" s="115"/>
      <c r="B98" s="116"/>
      <c r="C98" s="117"/>
      <c r="D98" s="116"/>
      <c r="E98" s="101"/>
      <c r="F98" s="101"/>
      <c r="G98" s="101"/>
      <c r="H98" s="101"/>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row>
    <row r="99" spans="1:41">
      <c r="A99" s="115"/>
      <c r="B99" s="116"/>
      <c r="C99" s="117"/>
      <c r="D99" s="116"/>
      <c r="E99" s="101"/>
      <c r="F99" s="101"/>
      <c r="G99" s="101"/>
      <c r="H99" s="101"/>
      <c r="I99" s="101"/>
      <c r="J99" s="101"/>
      <c r="K99" s="101"/>
      <c r="L99" s="101"/>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row>
    <row r="100" spans="1:41" ht="409.5">
      <c r="A100" s="197" t="s">
        <v>135</v>
      </c>
      <c r="B100" s="120" t="s">
        <v>136</v>
      </c>
      <c r="C100" s="121" t="s">
        <v>137</v>
      </c>
      <c r="D100" s="116"/>
      <c r="E100" s="101"/>
      <c r="F100" s="101"/>
      <c r="G100" s="101"/>
      <c r="H100" s="101"/>
      <c r="I100" s="101"/>
      <c r="J100" s="101"/>
      <c r="K100" s="101"/>
      <c r="L100" s="101"/>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row>
    <row r="101" spans="1:41">
      <c r="A101" s="115"/>
      <c r="B101" s="116"/>
      <c r="C101" s="117"/>
      <c r="D101" s="116"/>
      <c r="E101" s="101"/>
      <c r="F101" s="101"/>
      <c r="G101" s="101"/>
      <c r="H101" s="101"/>
      <c r="I101" s="101"/>
      <c r="J101" s="101"/>
      <c r="K101" s="101"/>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row>
    <row r="102" spans="1:41">
      <c r="A102" s="115"/>
      <c r="B102" s="116"/>
      <c r="C102" s="117"/>
      <c r="D102" s="116"/>
      <c r="E102" s="101"/>
      <c r="F102" s="101"/>
      <c r="G102" s="101"/>
      <c r="H102" s="101"/>
      <c r="I102" s="101"/>
      <c r="J102" s="101"/>
      <c r="K102" s="101"/>
      <c r="L102" s="101"/>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row>
    <row r="103" spans="1:41">
      <c r="A103" s="115"/>
      <c r="B103" s="116"/>
      <c r="C103" s="117"/>
      <c r="D103" s="116"/>
      <c r="E103" s="101"/>
      <c r="F103" s="101"/>
      <c r="G103" s="101"/>
      <c r="H103" s="101"/>
      <c r="I103" s="101"/>
      <c r="J103" s="101"/>
      <c r="K103" s="101"/>
      <c r="L103" s="101"/>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row>
    <row r="104" spans="1:41">
      <c r="A104" s="115"/>
      <c r="B104" s="116"/>
      <c r="C104" s="117"/>
      <c r="D104" s="116"/>
      <c r="E104" s="101"/>
      <c r="F104" s="101"/>
      <c r="G104" s="101"/>
      <c r="H104" s="101"/>
      <c r="I104" s="101"/>
      <c r="J104" s="101"/>
      <c r="K104" s="101"/>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row>
    <row r="105" spans="1:41">
      <c r="A105" s="115"/>
      <c r="B105" s="116"/>
      <c r="C105" s="117"/>
      <c r="D105" s="116"/>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row>
    <row r="106" spans="1:41">
      <c r="A106" s="115"/>
      <c r="B106" s="116"/>
      <c r="C106" s="117"/>
      <c r="D106" s="116"/>
      <c r="E106" s="101"/>
      <c r="F106" s="101"/>
      <c r="G106" s="101"/>
      <c r="H106" s="101"/>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row>
    <row r="107" spans="1:41">
      <c r="A107" s="115"/>
      <c r="B107" s="116"/>
      <c r="C107" s="117"/>
      <c r="D107" s="116"/>
      <c r="E107" s="101"/>
      <c r="F107" s="101"/>
      <c r="G107" s="101"/>
      <c r="H107" s="101"/>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row>
    <row r="108" spans="1:41">
      <c r="A108" s="115"/>
      <c r="B108" s="116"/>
      <c r="C108" s="117"/>
      <c r="D108" s="116"/>
      <c r="E108" s="101"/>
      <c r="F108" s="101"/>
      <c r="G108" s="101"/>
      <c r="H108" s="101"/>
      <c r="I108" s="101"/>
      <c r="J108" s="101"/>
      <c r="K108" s="101"/>
      <c r="L108" s="101"/>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row>
    <row r="109" spans="1:41">
      <c r="A109" s="115"/>
      <c r="B109" s="116"/>
      <c r="C109" s="117"/>
      <c r="D109" s="116"/>
      <c r="E109" s="101"/>
      <c r="F109" s="101"/>
      <c r="G109" s="101"/>
      <c r="H109" s="101"/>
      <c r="I109" s="101"/>
      <c r="J109" s="101"/>
      <c r="K109" s="101"/>
      <c r="L109" s="101"/>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row>
    <row r="110" spans="1:41">
      <c r="A110" s="115"/>
      <c r="B110" s="116"/>
      <c r="C110" s="117"/>
      <c r="D110" s="116"/>
      <c r="E110" s="101"/>
      <c r="F110" s="101"/>
      <c r="G110" s="101"/>
      <c r="H110" s="101"/>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row>
    <row r="111" spans="1:41">
      <c r="A111" s="115"/>
      <c r="B111" s="116"/>
      <c r="C111" s="117"/>
      <c r="D111" s="116"/>
      <c r="E111" s="101"/>
      <c r="F111" s="101"/>
      <c r="G111" s="101"/>
      <c r="H111" s="101"/>
      <c r="I111" s="101"/>
      <c r="J111" s="101"/>
      <c r="K111" s="101"/>
      <c r="L111" s="101"/>
      <c r="M111" s="101"/>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row>
    <row r="112" spans="1:41">
      <c r="A112" s="115"/>
      <c r="B112" s="116"/>
      <c r="C112" s="117"/>
      <c r="D112" s="116"/>
      <c r="E112" s="101"/>
      <c r="F112" s="101"/>
      <c r="G112" s="101"/>
      <c r="H112" s="101"/>
      <c r="I112" s="101"/>
      <c r="J112" s="101"/>
      <c r="K112" s="101"/>
      <c r="L112" s="101"/>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row>
    <row r="113" spans="1:41">
      <c r="A113" s="115"/>
      <c r="B113" s="116"/>
      <c r="C113" s="117"/>
      <c r="D113" s="116"/>
      <c r="E113" s="101"/>
      <c r="F113" s="101"/>
      <c r="G113" s="101"/>
      <c r="H113" s="101"/>
      <c r="I113" s="101"/>
      <c r="J113" s="101"/>
      <c r="K113" s="101"/>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row>
    <row r="114" spans="1:41">
      <c r="A114" s="115"/>
      <c r="B114" s="116"/>
      <c r="C114" s="117"/>
      <c r="D114" s="116"/>
      <c r="E114" s="101"/>
      <c r="F114" s="101"/>
      <c r="G114" s="101"/>
      <c r="H114" s="101"/>
      <c r="I114" s="101"/>
      <c r="J114" s="101"/>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row>
    <row r="115" spans="1:41">
      <c r="A115" s="115"/>
      <c r="B115" s="116"/>
      <c r="C115" s="117"/>
      <c r="D115" s="116"/>
      <c r="E115" s="101"/>
      <c r="F115" s="101"/>
      <c r="G115" s="101"/>
      <c r="H115" s="101"/>
      <c r="I115" s="101"/>
      <c r="J115" s="101"/>
      <c r="K115" s="101"/>
      <c r="L115" s="101"/>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row>
    <row r="116" spans="1:41">
      <c r="A116" s="115"/>
      <c r="B116" s="116"/>
      <c r="C116" s="117"/>
      <c r="D116" s="116"/>
      <c r="E116" s="101"/>
      <c r="F116" s="101"/>
      <c r="G116" s="101"/>
      <c r="H116" s="101"/>
      <c r="I116" s="101"/>
      <c r="J116" s="101"/>
      <c r="K116" s="101"/>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row>
    <row r="117" spans="1:41">
      <c r="A117" s="115"/>
      <c r="B117" s="116"/>
      <c r="C117" s="117"/>
      <c r="D117" s="116"/>
      <c r="E117" s="101"/>
      <c r="F117" s="101"/>
      <c r="G117" s="101"/>
      <c r="H117" s="101"/>
      <c r="I117" s="101"/>
      <c r="J117" s="101"/>
      <c r="K117" s="101"/>
      <c r="L117" s="101"/>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row>
    <row r="118" spans="1:41">
      <c r="A118" s="115"/>
      <c r="B118" s="116"/>
      <c r="C118" s="117"/>
      <c r="D118" s="116"/>
      <c r="E118" s="101"/>
      <c r="F118" s="101"/>
      <c r="G118" s="101"/>
      <c r="H118" s="101"/>
      <c r="I118" s="101"/>
      <c r="J118" s="101"/>
      <c r="K118" s="101"/>
      <c r="L118" s="101"/>
      <c r="M118" s="101"/>
      <c r="N118" s="101"/>
      <c r="O118" s="101"/>
      <c r="P118" s="101"/>
      <c r="Q118" s="101"/>
      <c r="R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row>
    <row r="119" spans="1:41">
      <c r="A119" s="115"/>
      <c r="B119" s="116"/>
      <c r="C119" s="117"/>
      <c r="D119" s="116"/>
      <c r="E119" s="101"/>
      <c r="F119" s="101"/>
      <c r="G119" s="101"/>
      <c r="H119" s="101"/>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row>
    <row r="120" spans="1:41">
      <c r="A120" s="115"/>
      <c r="B120" s="116"/>
      <c r="C120" s="117"/>
      <c r="D120" s="116"/>
      <c r="E120" s="101"/>
      <c r="F120" s="101"/>
      <c r="G120" s="101"/>
      <c r="H120" s="101"/>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row>
    <row r="121" spans="1:41">
      <c r="A121" s="115"/>
      <c r="B121" s="116"/>
      <c r="C121" s="117"/>
      <c r="D121" s="116"/>
      <c r="E121" s="101"/>
      <c r="F121" s="101"/>
      <c r="G121" s="101"/>
      <c r="H121" s="101"/>
      <c r="I121" s="101"/>
      <c r="J121" s="101"/>
      <c r="K121" s="101"/>
      <c r="L121" s="101"/>
      <c r="M121" s="101"/>
      <c r="N121" s="101"/>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row>
    <row r="122" spans="1:41">
      <c r="A122" s="115"/>
      <c r="B122" s="116"/>
      <c r="C122" s="117"/>
      <c r="D122" s="116"/>
      <c r="E122" s="101"/>
      <c r="F122" s="101"/>
      <c r="G122" s="101"/>
      <c r="H122" s="101"/>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row>
    <row r="123" spans="1:41">
      <c r="A123" s="115"/>
      <c r="B123" s="116"/>
      <c r="C123" s="117"/>
      <c r="D123" s="116"/>
      <c r="E123" s="101"/>
      <c r="F123" s="101"/>
      <c r="G123" s="101"/>
      <c r="H123" s="101"/>
      <c r="I123" s="101"/>
      <c r="J123" s="101"/>
      <c r="K123" s="101"/>
      <c r="L123" s="101"/>
      <c r="M123" s="101"/>
      <c r="N123" s="101"/>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row>
    <row r="124" spans="1:41">
      <c r="A124" s="115"/>
      <c r="B124" s="116"/>
      <c r="C124" s="117"/>
      <c r="D124" s="116"/>
      <c r="E124" s="101"/>
      <c r="F124" s="101"/>
      <c r="G124" s="101"/>
      <c r="H124" s="101"/>
      <c r="I124" s="101"/>
      <c r="J124" s="101"/>
      <c r="K124" s="101"/>
      <c r="L124" s="101"/>
      <c r="M124" s="101"/>
      <c r="N124" s="101"/>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row>
    <row r="125" spans="1:41">
      <c r="A125" s="115"/>
      <c r="B125" s="116"/>
      <c r="C125" s="117"/>
      <c r="D125" s="116"/>
      <c r="E125" s="101"/>
      <c r="F125" s="101"/>
      <c r="G125" s="101"/>
      <c r="H125" s="101"/>
      <c r="I125" s="101"/>
      <c r="J125" s="101"/>
      <c r="K125" s="101"/>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row>
    <row r="126" spans="1:41">
      <c r="A126" s="115"/>
      <c r="B126" s="116"/>
      <c r="C126" s="117"/>
      <c r="D126" s="116"/>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row>
    <row r="127" spans="1:41">
      <c r="A127" s="115"/>
      <c r="B127" s="116"/>
      <c r="C127" s="117"/>
      <c r="D127" s="116"/>
      <c r="E127" s="101"/>
      <c r="F127" s="101"/>
      <c r="G127" s="101"/>
      <c r="H127" s="101"/>
      <c r="I127" s="101"/>
      <c r="J127" s="101"/>
      <c r="K127" s="101"/>
      <c r="L127" s="101"/>
      <c r="M127" s="101"/>
      <c r="N127" s="101"/>
      <c r="O127" s="101"/>
      <c r="P127" s="101"/>
      <c r="Q127" s="101"/>
      <c r="R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row>
    <row r="128" spans="1:41">
      <c r="A128" s="115"/>
      <c r="B128" s="116"/>
      <c r="C128" s="117"/>
      <c r="D128" s="116"/>
      <c r="E128" s="101"/>
      <c r="F128" s="101"/>
      <c r="G128" s="101"/>
      <c r="H128" s="101"/>
      <c r="I128" s="101"/>
      <c r="J128" s="101"/>
      <c r="K128" s="101"/>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row>
    <row r="129" spans="1:41">
      <c r="A129" s="115"/>
      <c r="B129" s="116"/>
      <c r="C129" s="117"/>
      <c r="D129" s="116"/>
      <c r="E129" s="101"/>
      <c r="F129" s="101"/>
      <c r="G129" s="101"/>
      <c r="H129" s="101"/>
      <c r="I129" s="101"/>
      <c r="J129" s="101"/>
      <c r="K129" s="101"/>
      <c r="L129" s="101"/>
      <c r="M129" s="101"/>
      <c r="N129" s="101"/>
      <c r="O129" s="101"/>
      <c r="P129" s="101"/>
      <c r="Q129" s="101"/>
      <c r="R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row>
    <row r="130" spans="1:41">
      <c r="A130" s="115"/>
      <c r="B130" s="116"/>
      <c r="C130" s="117"/>
      <c r="D130" s="116"/>
      <c r="E130" s="101"/>
      <c r="F130" s="101"/>
      <c r="G130" s="101"/>
      <c r="H130" s="101"/>
      <c r="I130" s="101"/>
      <c r="J130" s="101"/>
      <c r="K130" s="101"/>
      <c r="L130" s="101"/>
      <c r="M130" s="101"/>
      <c r="N130" s="101"/>
      <c r="O130" s="101"/>
      <c r="P130" s="101"/>
      <c r="Q130" s="101"/>
      <c r="R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row>
    <row r="131" spans="1:41">
      <c r="A131" s="115"/>
      <c r="B131" s="116"/>
      <c r="C131" s="117"/>
      <c r="D131" s="116"/>
      <c r="E131" s="101"/>
      <c r="F131" s="101"/>
      <c r="G131" s="101"/>
      <c r="H131" s="101"/>
      <c r="I131" s="101"/>
      <c r="J131" s="101"/>
      <c r="K131" s="101"/>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row>
    <row r="132" spans="1:41">
      <c r="A132" s="115"/>
      <c r="B132" s="116"/>
      <c r="C132" s="117"/>
      <c r="D132" s="116"/>
      <c r="E132" s="101"/>
      <c r="F132" s="101"/>
      <c r="G132" s="101"/>
      <c r="H132" s="101"/>
      <c r="I132" s="101"/>
      <c r="J132" s="101"/>
      <c r="K132" s="101"/>
      <c r="L132" s="101"/>
      <c r="M132" s="101"/>
      <c r="N132" s="101"/>
      <c r="O132" s="101"/>
      <c r="P132" s="101"/>
      <c r="Q132" s="101"/>
      <c r="R132" s="101"/>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row>
    <row r="133" spans="1:41">
      <c r="A133" s="115"/>
      <c r="B133" s="116"/>
      <c r="C133" s="117"/>
      <c r="D133" s="116"/>
      <c r="E133" s="101"/>
      <c r="F133" s="101"/>
      <c r="G133" s="101"/>
      <c r="H133" s="101"/>
      <c r="I133" s="101"/>
      <c r="J133" s="101"/>
      <c r="K133" s="101"/>
      <c r="L133" s="101"/>
      <c r="M133" s="101"/>
      <c r="N133" s="101"/>
      <c r="O133" s="101"/>
      <c r="P133" s="101"/>
      <c r="Q133" s="101"/>
      <c r="R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row>
    <row r="134" spans="1:41">
      <c r="A134" s="115"/>
      <c r="B134" s="116"/>
      <c r="C134" s="117"/>
      <c r="D134" s="116"/>
      <c r="E134" s="101"/>
      <c r="F134" s="101"/>
      <c r="G134" s="101"/>
      <c r="H134" s="101"/>
      <c r="I134" s="101"/>
      <c r="J134" s="101"/>
      <c r="K134" s="101"/>
      <c r="L134" s="101"/>
      <c r="M134" s="101"/>
      <c r="N134" s="101"/>
      <c r="O134" s="101"/>
      <c r="P134" s="101"/>
      <c r="Q134" s="101"/>
      <c r="R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row>
    <row r="135" spans="1:41">
      <c r="A135" s="115"/>
      <c r="B135" s="116"/>
      <c r="C135" s="117"/>
      <c r="D135" s="116"/>
      <c r="E135" s="101"/>
      <c r="F135" s="101"/>
      <c r="G135" s="101"/>
      <c r="H135" s="101"/>
      <c r="I135" s="101"/>
      <c r="J135" s="101"/>
      <c r="K135" s="101"/>
      <c r="L135" s="101"/>
      <c r="M135" s="101"/>
      <c r="N135" s="101"/>
      <c r="O135" s="101"/>
      <c r="P135" s="101"/>
      <c r="Q135" s="101"/>
      <c r="R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row>
    <row r="136" spans="1:41">
      <c r="A136" s="115"/>
      <c r="B136" s="116"/>
      <c r="C136" s="117"/>
      <c r="D136" s="116"/>
      <c r="E136" s="101"/>
      <c r="F136" s="101"/>
      <c r="G136" s="101"/>
      <c r="H136" s="101"/>
      <c r="I136" s="101"/>
      <c r="J136" s="101"/>
      <c r="K136" s="101"/>
      <c r="L136" s="101"/>
      <c r="M136" s="101"/>
      <c r="N136" s="101"/>
      <c r="O136" s="101"/>
      <c r="P136" s="101"/>
      <c r="Q136" s="101"/>
      <c r="R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row>
    <row r="137" spans="1:41">
      <c r="A137" s="115"/>
      <c r="B137" s="116"/>
      <c r="C137" s="117"/>
      <c r="D137" s="116"/>
      <c r="E137" s="101"/>
      <c r="F137" s="101"/>
      <c r="G137" s="101"/>
      <c r="H137" s="101"/>
      <c r="I137" s="101"/>
      <c r="J137" s="101"/>
      <c r="K137" s="101"/>
      <c r="L137" s="101"/>
      <c r="M137" s="101"/>
      <c r="N137" s="101"/>
      <c r="O137" s="101"/>
      <c r="P137" s="101"/>
      <c r="Q137" s="101"/>
      <c r="R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row>
    <row r="138" spans="1:41">
      <c r="A138" s="115"/>
      <c r="B138" s="116"/>
      <c r="C138" s="117"/>
      <c r="D138" s="116"/>
      <c r="E138" s="101"/>
      <c r="F138" s="101"/>
      <c r="G138" s="101"/>
      <c r="H138" s="101"/>
      <c r="I138" s="101"/>
      <c r="J138" s="101"/>
      <c r="K138" s="101"/>
      <c r="L138" s="101"/>
      <c r="M138" s="101"/>
      <c r="N138" s="101"/>
      <c r="O138" s="101"/>
      <c r="P138" s="101"/>
      <c r="Q138" s="101"/>
      <c r="R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row>
    <row r="139" spans="1:41">
      <c r="A139" s="115"/>
      <c r="B139" s="116"/>
      <c r="C139" s="117"/>
      <c r="D139" s="116"/>
      <c r="E139" s="101"/>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row>
    <row r="140" spans="1:41">
      <c r="A140" s="115"/>
      <c r="B140" s="116"/>
      <c r="C140" s="117"/>
      <c r="D140" s="116"/>
      <c r="E140" s="101"/>
      <c r="F140" s="101"/>
      <c r="G140" s="101"/>
      <c r="H140" s="101"/>
      <c r="I140" s="101"/>
      <c r="J140" s="101"/>
      <c r="K140" s="101"/>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row>
    <row r="141" spans="1:41">
      <c r="A141" s="115"/>
      <c r="B141" s="116"/>
      <c r="C141" s="117"/>
      <c r="D141" s="116"/>
      <c r="E141" s="101"/>
      <c r="F141" s="101"/>
      <c r="G141" s="101"/>
      <c r="H141" s="101"/>
      <c r="I141" s="101"/>
      <c r="J141" s="101"/>
      <c r="K141" s="101"/>
      <c r="L141" s="101"/>
      <c r="M141" s="101"/>
      <c r="N141" s="101"/>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row>
    <row r="142" spans="1:41">
      <c r="A142" s="115"/>
      <c r="B142" s="116"/>
      <c r="C142" s="117"/>
      <c r="D142" s="116"/>
      <c r="E142" s="101"/>
      <c r="F142" s="101"/>
      <c r="G142" s="101"/>
      <c r="H142" s="101"/>
      <c r="I142" s="101"/>
      <c r="J142" s="101"/>
      <c r="K142" s="101"/>
      <c r="L142" s="101"/>
      <c r="M142" s="101"/>
      <c r="N142" s="101"/>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row>
    <row r="143" spans="1:41">
      <c r="A143" s="115"/>
      <c r="B143" s="116"/>
      <c r="C143" s="117"/>
      <c r="D143" s="116"/>
      <c r="E143" s="101"/>
      <c r="F143" s="101"/>
      <c r="G143" s="101"/>
      <c r="H143" s="101"/>
      <c r="I143" s="101"/>
      <c r="J143" s="101"/>
      <c r="K143" s="101"/>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row>
    <row r="144" spans="1:41">
      <c r="A144" s="115"/>
      <c r="B144" s="116"/>
      <c r="C144" s="117"/>
      <c r="D144" s="116"/>
      <c r="E144" s="101"/>
      <c r="F144" s="101"/>
      <c r="G144" s="101"/>
      <c r="H144" s="101"/>
      <c r="I144" s="101"/>
      <c r="J144" s="101"/>
      <c r="K144" s="101"/>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row>
    <row r="145" spans="1:41">
      <c r="A145" s="115"/>
      <c r="B145" s="116"/>
      <c r="C145" s="117"/>
      <c r="D145" s="116"/>
      <c r="E145" s="101"/>
      <c r="F145" s="101"/>
      <c r="G145" s="101"/>
      <c r="H145" s="101"/>
      <c r="I145" s="101"/>
      <c r="J145" s="101"/>
      <c r="K145" s="101"/>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row>
    <row r="146" spans="1:41">
      <c r="A146" s="115"/>
      <c r="B146" s="116"/>
      <c r="C146" s="117"/>
      <c r="D146" s="116"/>
      <c r="E146" s="101"/>
      <c r="F146" s="101"/>
      <c r="G146" s="101"/>
      <c r="H146" s="101"/>
      <c r="I146" s="101"/>
      <c r="J146" s="101"/>
      <c r="K146" s="101"/>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row>
    <row r="147" spans="1:41">
      <c r="A147" s="115"/>
      <c r="B147" s="116"/>
      <c r="C147" s="117"/>
      <c r="D147" s="116"/>
      <c r="E147" s="101"/>
      <c r="F147" s="101"/>
      <c r="G147" s="101"/>
      <c r="H147" s="101"/>
      <c r="I147" s="101"/>
      <c r="J147" s="101"/>
      <c r="K147" s="101"/>
      <c r="L147" s="101"/>
      <c r="M147" s="101"/>
      <c r="N147" s="101"/>
      <c r="O147" s="101"/>
      <c r="P147" s="101"/>
      <c r="Q147" s="101"/>
      <c r="R147" s="101"/>
      <c r="S147" s="101"/>
      <c r="T147" s="101"/>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row>
    <row r="148" spans="1:41">
      <c r="A148" s="115"/>
      <c r="B148" s="116"/>
      <c r="C148" s="117"/>
      <c r="D148" s="116"/>
      <c r="E148" s="101"/>
      <c r="F148" s="101"/>
      <c r="G148" s="101"/>
      <c r="H148" s="101"/>
      <c r="I148" s="101"/>
      <c r="J148" s="101"/>
      <c r="K148" s="101"/>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row>
    <row r="149" spans="1:41">
      <c r="A149" s="115"/>
      <c r="B149" s="116"/>
      <c r="C149" s="117"/>
      <c r="D149" s="116"/>
      <c r="E149" s="101"/>
      <c r="F149" s="101"/>
      <c r="G149" s="101"/>
      <c r="H149" s="101"/>
      <c r="I149" s="101"/>
      <c r="J149" s="101"/>
      <c r="K149" s="101"/>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row>
    <row r="150" spans="1:41">
      <c r="A150" s="115"/>
      <c r="B150" s="116"/>
      <c r="C150" s="117"/>
      <c r="D150" s="116"/>
      <c r="E150" s="101"/>
      <c r="F150" s="101"/>
      <c r="G150" s="101"/>
      <c r="H150" s="101"/>
      <c r="I150" s="101"/>
      <c r="J150" s="101"/>
      <c r="K150" s="101"/>
      <c r="L150" s="101"/>
      <c r="M150" s="101"/>
      <c r="N150" s="101"/>
      <c r="O150" s="101"/>
      <c r="P150" s="101"/>
      <c r="Q150" s="101"/>
      <c r="R150" s="101"/>
      <c r="S150" s="101"/>
      <c r="T150" s="101"/>
      <c r="U150" s="101"/>
      <c r="V150" s="101"/>
      <c r="W150" s="101"/>
      <c r="X150" s="101"/>
      <c r="Y150" s="101"/>
      <c r="Z150" s="101"/>
      <c r="AA150" s="101"/>
      <c r="AB150" s="101"/>
      <c r="AC150" s="101"/>
      <c r="AD150" s="101"/>
      <c r="AE150" s="101"/>
      <c r="AF150" s="101"/>
      <c r="AG150" s="101"/>
      <c r="AH150" s="101"/>
      <c r="AI150" s="101"/>
      <c r="AJ150" s="101"/>
      <c r="AK150" s="101"/>
      <c r="AL150" s="101"/>
      <c r="AM150" s="101"/>
      <c r="AN150" s="101"/>
      <c r="AO150" s="101"/>
    </row>
    <row r="151" spans="1:41">
      <c r="A151" s="115"/>
      <c r="B151" s="116"/>
      <c r="C151" s="117"/>
      <c r="D151" s="116"/>
      <c r="E151" s="101"/>
      <c r="F151" s="101"/>
      <c r="G151" s="101"/>
      <c r="H151" s="101"/>
      <c r="I151" s="101"/>
      <c r="J151" s="101"/>
      <c r="K151" s="101"/>
      <c r="L151" s="101"/>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row>
    <row r="152" spans="1:41">
      <c r="A152" s="115"/>
      <c r="B152" s="116"/>
      <c r="C152" s="117"/>
      <c r="D152" s="116"/>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row>
    <row r="153" spans="1:41">
      <c r="A153" s="115"/>
      <c r="B153" s="116"/>
      <c r="C153" s="117"/>
      <c r="D153" s="116"/>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row>
    <row r="154" spans="1:41">
      <c r="A154" s="115"/>
      <c r="B154" s="116"/>
      <c r="C154" s="117"/>
      <c r="D154" s="116"/>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c r="AI154" s="101"/>
      <c r="AJ154" s="101"/>
      <c r="AK154" s="101"/>
      <c r="AL154" s="101"/>
      <c r="AM154" s="101"/>
      <c r="AN154" s="101"/>
      <c r="AO154" s="101"/>
    </row>
    <row r="155" spans="1:41">
      <c r="A155" s="115"/>
      <c r="B155" s="116"/>
      <c r="C155" s="117"/>
      <c r="D155" s="116"/>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101"/>
      <c r="AI155" s="101"/>
      <c r="AJ155" s="101"/>
      <c r="AK155" s="101"/>
      <c r="AL155" s="101"/>
      <c r="AM155" s="101"/>
      <c r="AN155" s="101"/>
      <c r="AO155" s="101"/>
    </row>
    <row r="156" spans="1:41">
      <c r="A156" s="115"/>
      <c r="B156" s="116"/>
      <c r="C156" s="117"/>
      <c r="D156" s="116"/>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row>
    <row r="157" spans="1:41">
      <c r="A157" s="115"/>
      <c r="B157" s="116"/>
      <c r="C157" s="117"/>
      <c r="D157" s="116"/>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101"/>
      <c r="AI157" s="101"/>
      <c r="AJ157" s="101"/>
      <c r="AK157" s="101"/>
      <c r="AL157" s="101"/>
      <c r="AM157" s="101"/>
      <c r="AN157" s="101"/>
      <c r="AO157" s="101"/>
    </row>
    <row r="158" spans="1:41">
      <c r="A158" s="115"/>
      <c r="B158" s="116"/>
      <c r="C158" s="117"/>
      <c r="D158" s="116"/>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101"/>
      <c r="AI158" s="101"/>
      <c r="AJ158" s="101"/>
      <c r="AK158" s="101"/>
      <c r="AL158" s="101"/>
      <c r="AM158" s="101"/>
      <c r="AN158" s="101"/>
      <c r="AO158" s="101"/>
    </row>
    <row r="159" spans="1:41">
      <c r="A159" s="115"/>
      <c r="B159" s="116"/>
      <c r="C159" s="117"/>
      <c r="D159" s="116"/>
      <c r="E159" s="101"/>
      <c r="F159" s="101"/>
      <c r="G159" s="101"/>
      <c r="H159" s="101"/>
      <c r="I159" s="101"/>
      <c r="J159" s="101"/>
      <c r="K159" s="101"/>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101"/>
      <c r="AI159" s="101"/>
      <c r="AJ159" s="101"/>
      <c r="AK159" s="101"/>
      <c r="AL159" s="101"/>
      <c r="AM159" s="101"/>
      <c r="AN159" s="101"/>
      <c r="AO159" s="101"/>
    </row>
    <row r="160" spans="1:41">
      <c r="A160" s="115"/>
      <c r="B160" s="116"/>
      <c r="C160" s="117"/>
      <c r="D160" s="116"/>
      <c r="E160" s="101"/>
      <c r="F160" s="101"/>
      <c r="G160" s="101"/>
      <c r="H160" s="101"/>
      <c r="I160" s="101"/>
      <c r="J160" s="101"/>
      <c r="K160" s="101"/>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101"/>
      <c r="AI160" s="101"/>
      <c r="AJ160" s="101"/>
      <c r="AK160" s="101"/>
      <c r="AL160" s="101"/>
      <c r="AM160" s="101"/>
      <c r="AN160" s="101"/>
      <c r="AO160" s="101"/>
    </row>
    <row r="161" spans="1:41">
      <c r="A161" s="115"/>
      <c r="B161" s="116"/>
      <c r="C161" s="117"/>
      <c r="D161" s="116"/>
      <c r="E161" s="101"/>
      <c r="F161" s="101"/>
      <c r="G161" s="101"/>
      <c r="H161" s="101"/>
      <c r="I161" s="101"/>
      <c r="J161" s="101"/>
      <c r="K161" s="101"/>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row>
    <row r="162" spans="1:41">
      <c r="A162" s="115"/>
      <c r="B162" s="116"/>
      <c r="C162" s="117"/>
      <c r="D162" s="116"/>
      <c r="E162" s="101"/>
      <c r="F162" s="101"/>
      <c r="G162" s="101"/>
      <c r="H162" s="101"/>
      <c r="I162" s="101"/>
      <c r="J162" s="101"/>
      <c r="K162" s="101"/>
      <c r="L162" s="101"/>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row>
    <row r="163" spans="1:41">
      <c r="A163" s="115"/>
      <c r="B163" s="116"/>
      <c r="C163" s="117"/>
      <c r="D163" s="116"/>
      <c r="E163" s="101"/>
      <c r="F163" s="101"/>
      <c r="G163" s="101"/>
      <c r="H163" s="101"/>
      <c r="I163" s="101"/>
      <c r="J163" s="101"/>
      <c r="K163" s="101"/>
      <c r="L163" s="101"/>
      <c r="M163" s="101"/>
      <c r="N163" s="101"/>
      <c r="O163" s="101"/>
      <c r="P163" s="101"/>
      <c r="Q163" s="101"/>
      <c r="R163" s="101"/>
      <c r="S163" s="101"/>
      <c r="T163" s="101"/>
      <c r="U163" s="101"/>
      <c r="V163" s="101"/>
      <c r="W163" s="101"/>
      <c r="X163" s="101"/>
      <c r="Y163" s="101"/>
      <c r="Z163" s="101"/>
      <c r="AA163" s="101"/>
      <c r="AB163" s="101"/>
      <c r="AC163" s="101"/>
      <c r="AD163" s="101"/>
      <c r="AE163" s="101"/>
      <c r="AF163" s="101"/>
      <c r="AG163" s="101"/>
      <c r="AH163" s="101"/>
      <c r="AI163" s="101"/>
      <c r="AJ163" s="101"/>
      <c r="AK163" s="101"/>
      <c r="AL163" s="101"/>
      <c r="AM163" s="101"/>
      <c r="AN163" s="101"/>
      <c r="AO163" s="101"/>
    </row>
    <row r="164" spans="1:41">
      <c r="A164" s="115"/>
      <c r="B164" s="116"/>
      <c r="C164" s="117"/>
      <c r="D164" s="116"/>
      <c r="E164" s="101"/>
      <c r="F164" s="101"/>
      <c r="G164" s="101"/>
      <c r="H164" s="101"/>
      <c r="I164" s="101"/>
      <c r="J164" s="101"/>
      <c r="K164" s="101"/>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row>
    <row r="165" spans="1:41">
      <c r="A165" s="115"/>
      <c r="B165" s="116"/>
      <c r="C165" s="117"/>
      <c r="D165" s="116"/>
      <c r="E165" s="101"/>
      <c r="F165" s="101"/>
      <c r="G165" s="101"/>
      <c r="H165" s="101"/>
      <c r="I165" s="101"/>
      <c r="J165" s="101"/>
      <c r="K165" s="101"/>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row>
    <row r="166" spans="1:41">
      <c r="A166" s="115"/>
      <c r="B166" s="116"/>
      <c r="C166" s="117"/>
      <c r="D166" s="116"/>
      <c r="E166" s="101"/>
      <c r="F166" s="101"/>
      <c r="G166" s="101"/>
      <c r="H166" s="101"/>
      <c r="I166" s="101"/>
      <c r="J166" s="101"/>
      <c r="K166" s="101"/>
      <c r="L166" s="101"/>
      <c r="M166" s="101"/>
      <c r="N166" s="101"/>
      <c r="O166" s="101"/>
      <c r="P166" s="101"/>
      <c r="Q166" s="101"/>
      <c r="R166" s="101"/>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row>
    <row r="167" spans="1:41">
      <c r="A167" s="115"/>
      <c r="B167" s="116"/>
      <c r="C167" s="117"/>
      <c r="D167" s="116"/>
      <c r="E167" s="101"/>
      <c r="F167" s="101"/>
      <c r="G167" s="101"/>
      <c r="H167" s="101"/>
      <c r="I167" s="101"/>
      <c r="J167" s="101"/>
      <c r="K167" s="101"/>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row>
    <row r="168" spans="1:41">
      <c r="A168" s="115"/>
      <c r="B168" s="116"/>
      <c r="C168" s="117"/>
      <c r="D168" s="116"/>
      <c r="E168" s="101"/>
      <c r="F168" s="101"/>
      <c r="G168" s="101"/>
      <c r="H168" s="101"/>
      <c r="I168" s="101"/>
      <c r="J168" s="101"/>
      <c r="K168" s="101"/>
      <c r="L168" s="101"/>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row>
    <row r="169" spans="1:41">
      <c r="A169" s="115"/>
      <c r="B169" s="116"/>
      <c r="C169" s="117"/>
      <c r="D169" s="116"/>
      <c r="E169" s="101"/>
      <c r="F169" s="101"/>
      <c r="G169" s="101"/>
      <c r="H169" s="101"/>
      <c r="I169" s="101"/>
      <c r="J169" s="101"/>
      <c r="K169" s="101"/>
      <c r="L169" s="101"/>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row>
    <row r="170" spans="1:41">
      <c r="A170" s="115"/>
      <c r="B170" s="116"/>
      <c r="C170" s="117"/>
      <c r="D170" s="116"/>
      <c r="E170" s="101"/>
      <c r="F170" s="101"/>
      <c r="G170" s="101"/>
      <c r="H170" s="101"/>
      <c r="I170" s="101"/>
      <c r="J170" s="101"/>
      <c r="K170" s="101"/>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row>
    <row r="171" spans="1:41">
      <c r="A171" s="115"/>
      <c r="B171" s="116"/>
      <c r="C171" s="117"/>
      <c r="D171" s="116"/>
      <c r="E171" s="101"/>
      <c r="F171" s="101"/>
      <c r="G171" s="101"/>
      <c r="H171" s="101"/>
      <c r="I171" s="101"/>
      <c r="J171" s="101"/>
      <c r="K171" s="101"/>
      <c r="L171" s="101"/>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row>
    <row r="172" spans="1:41">
      <c r="A172" s="115"/>
      <c r="B172" s="116"/>
      <c r="C172" s="117"/>
      <c r="D172" s="116"/>
      <c r="E172" s="101"/>
      <c r="F172" s="101"/>
      <c r="G172" s="101"/>
      <c r="H172" s="101"/>
      <c r="I172" s="101"/>
      <c r="J172" s="101"/>
      <c r="K172" s="101"/>
      <c r="L172" s="101"/>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row>
    <row r="173" spans="1:41">
      <c r="A173" s="115"/>
      <c r="B173" s="116"/>
      <c r="C173" s="117"/>
      <c r="D173" s="116"/>
      <c r="E173" s="101"/>
      <c r="F173" s="101"/>
      <c r="G173" s="101"/>
      <c r="H173" s="101"/>
      <c r="I173" s="101"/>
      <c r="J173" s="101"/>
      <c r="K173" s="101"/>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row>
    <row r="174" spans="1:41">
      <c r="A174" s="115"/>
      <c r="B174" s="116"/>
      <c r="C174" s="117"/>
      <c r="D174" s="116"/>
      <c r="E174" s="101"/>
      <c r="F174" s="101"/>
      <c r="G174" s="101"/>
      <c r="H174" s="101"/>
      <c r="I174" s="101"/>
      <c r="J174" s="101"/>
      <c r="K174" s="101"/>
      <c r="L174" s="101"/>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row>
    <row r="175" spans="1:41">
      <c r="A175" s="115"/>
      <c r="B175" s="116"/>
      <c r="C175" s="117"/>
      <c r="D175" s="116"/>
      <c r="E175" s="101"/>
      <c r="F175" s="101"/>
      <c r="G175" s="101"/>
      <c r="H175" s="101"/>
      <c r="I175" s="101"/>
      <c r="J175" s="101"/>
      <c r="K175" s="101"/>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row>
    <row r="176" spans="1:41">
      <c r="A176" s="115"/>
      <c r="B176" s="116"/>
      <c r="C176" s="117"/>
      <c r="D176" s="116"/>
      <c r="E176" s="101"/>
      <c r="F176" s="101"/>
      <c r="G176" s="101"/>
      <c r="H176" s="101"/>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row>
    <row r="177" spans="1:41">
      <c r="A177" s="115"/>
      <c r="B177" s="116"/>
      <c r="C177" s="117"/>
      <c r="D177" s="116"/>
      <c r="E177" s="101"/>
      <c r="F177" s="101"/>
      <c r="G177" s="101"/>
      <c r="H177" s="101"/>
      <c r="I177" s="101"/>
      <c r="J177" s="101"/>
      <c r="K177" s="101"/>
      <c r="L177" s="101"/>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row>
    <row r="178" spans="1:41">
      <c r="A178" s="115"/>
      <c r="B178" s="116"/>
      <c r="C178" s="117"/>
      <c r="D178" s="116"/>
      <c r="E178" s="101"/>
      <c r="F178" s="101"/>
      <c r="G178" s="101"/>
      <c r="H178" s="101"/>
      <c r="I178" s="101"/>
      <c r="J178" s="101"/>
      <c r="K178" s="101"/>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row>
    <row r="179" spans="1:41">
      <c r="A179" s="115"/>
      <c r="B179" s="116"/>
      <c r="C179" s="117"/>
      <c r="D179" s="116"/>
      <c r="E179" s="101"/>
      <c r="F179" s="101"/>
      <c r="G179" s="101"/>
      <c r="H179" s="101"/>
      <c r="I179" s="101"/>
      <c r="J179" s="101"/>
      <c r="K179" s="101"/>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row>
    <row r="180" spans="1:41">
      <c r="A180" s="115"/>
      <c r="B180" s="116"/>
      <c r="C180" s="117"/>
      <c r="D180" s="116"/>
      <c r="E180" s="101"/>
      <c r="F180" s="101"/>
      <c r="G180" s="101"/>
      <c r="H180" s="101"/>
      <c r="I180" s="101"/>
      <c r="J180" s="101"/>
      <c r="K180" s="101"/>
      <c r="L180" s="101"/>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row>
    <row r="181" spans="1:41">
      <c r="A181" s="115"/>
      <c r="B181" s="116"/>
      <c r="C181" s="117"/>
      <c r="D181" s="116"/>
      <c r="E181" s="101"/>
      <c r="F181" s="101"/>
      <c r="G181" s="101"/>
      <c r="H181" s="101"/>
      <c r="I181" s="101"/>
      <c r="J181" s="101"/>
      <c r="K181" s="101"/>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row>
    <row r="182" spans="1:41">
      <c r="A182" s="115"/>
      <c r="B182" s="116"/>
      <c r="C182" s="117"/>
      <c r="D182" s="116"/>
      <c r="E182" s="101"/>
      <c r="F182" s="101"/>
      <c r="G182" s="101"/>
      <c r="H182" s="101"/>
      <c r="I182" s="101"/>
      <c r="J182" s="101"/>
      <c r="K182" s="101"/>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row>
    <row r="183" spans="1:41">
      <c r="A183" s="115"/>
      <c r="B183" s="116"/>
      <c r="C183" s="117"/>
      <c r="D183" s="116"/>
      <c r="E183" s="101"/>
      <c r="F183" s="101"/>
      <c r="G183" s="101"/>
      <c r="H183" s="101"/>
      <c r="I183" s="101"/>
      <c r="J183" s="101"/>
      <c r="K183" s="101"/>
      <c r="L183" s="101"/>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row>
    <row r="184" spans="1:41">
      <c r="A184" s="115"/>
      <c r="B184" s="116"/>
      <c r="C184" s="117"/>
      <c r="D184" s="116"/>
      <c r="E184" s="101"/>
      <c r="F184" s="101"/>
      <c r="G184" s="101"/>
      <c r="H184" s="101"/>
      <c r="I184" s="101"/>
      <c r="J184" s="101"/>
      <c r="K184" s="101"/>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row>
    <row r="185" spans="1:41">
      <c r="A185" s="115"/>
      <c r="B185" s="116"/>
      <c r="C185" s="117"/>
      <c r="D185" s="116"/>
      <c r="E185" s="101"/>
      <c r="F185" s="101"/>
      <c r="G185" s="101"/>
      <c r="H185" s="101"/>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row>
    <row r="186" spans="1:41">
      <c r="A186" s="115"/>
      <c r="B186" s="116"/>
      <c r="C186" s="117"/>
      <c r="D186" s="116"/>
      <c r="E186" s="101"/>
      <c r="F186" s="101"/>
      <c r="G186" s="101"/>
      <c r="H186" s="101"/>
      <c r="I186" s="101"/>
      <c r="J186" s="101"/>
      <c r="K186" s="101"/>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row>
    <row r="187" spans="1:41">
      <c r="A187" s="115"/>
      <c r="B187" s="116"/>
      <c r="C187" s="117"/>
      <c r="D187" s="116"/>
      <c r="E187" s="101"/>
      <c r="F187" s="101"/>
      <c r="G187" s="101"/>
      <c r="H187" s="101"/>
      <c r="I187" s="101"/>
      <c r="J187" s="101"/>
      <c r="K187" s="101"/>
      <c r="L187" s="101"/>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row>
    <row r="188" spans="1:41">
      <c r="A188" s="115"/>
      <c r="B188" s="116"/>
      <c r="C188" s="117"/>
      <c r="D188" s="116"/>
      <c r="E188" s="101"/>
      <c r="F188" s="101"/>
      <c r="G188" s="101"/>
      <c r="H188" s="101"/>
      <c r="I188" s="101"/>
      <c r="J188" s="101"/>
      <c r="K188" s="101"/>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row>
    <row r="189" spans="1:41">
      <c r="A189" s="115"/>
      <c r="B189" s="116"/>
      <c r="C189" s="117"/>
      <c r="D189" s="116"/>
      <c r="E189" s="101"/>
      <c r="F189" s="101"/>
      <c r="G189" s="101"/>
      <c r="H189" s="101"/>
      <c r="I189" s="101"/>
      <c r="J189" s="101"/>
      <c r="K189" s="101"/>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row>
    <row r="190" spans="1:41">
      <c r="A190" s="115"/>
      <c r="B190" s="116"/>
      <c r="C190" s="117"/>
      <c r="D190" s="116"/>
      <c r="E190" s="101"/>
      <c r="F190" s="101"/>
      <c r="G190" s="101"/>
      <c r="H190" s="101"/>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row>
    <row r="191" spans="1:41">
      <c r="A191" s="115"/>
      <c r="B191" s="116"/>
      <c r="C191" s="117"/>
      <c r="D191" s="116"/>
      <c r="E191" s="101"/>
      <c r="F191" s="101"/>
      <c r="G191" s="101"/>
      <c r="H191" s="101"/>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row>
    <row r="192" spans="1:41">
      <c r="A192" s="115"/>
      <c r="B192" s="116"/>
      <c r="C192" s="117"/>
      <c r="D192" s="116"/>
      <c r="E192" s="101"/>
      <c r="F192" s="101"/>
      <c r="G192" s="101"/>
      <c r="H192" s="101"/>
      <c r="I192" s="101"/>
      <c r="J192" s="101"/>
      <c r="K192" s="101"/>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row>
    <row r="193" spans="1:41">
      <c r="A193" s="115"/>
      <c r="B193" s="116"/>
      <c r="C193" s="117"/>
      <c r="D193" s="116"/>
      <c r="E193" s="101"/>
      <c r="F193" s="101"/>
      <c r="G193" s="101"/>
      <c r="H193" s="101"/>
      <c r="I193" s="101"/>
      <c r="J193" s="101"/>
      <c r="K193" s="101"/>
      <c r="L193" s="101"/>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row>
    <row r="194" spans="1:41">
      <c r="A194" s="115"/>
      <c r="B194" s="116"/>
      <c r="C194" s="117"/>
      <c r="D194" s="116"/>
      <c r="E194" s="101"/>
      <c r="F194" s="101"/>
      <c r="G194" s="101"/>
      <c r="H194" s="101"/>
      <c r="I194" s="101"/>
      <c r="J194" s="101"/>
      <c r="K194" s="101"/>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row>
    <row r="195" spans="1:41">
      <c r="A195" s="115"/>
      <c r="B195" s="116"/>
      <c r="C195" s="117"/>
      <c r="D195" s="116"/>
      <c r="E195" s="101"/>
      <c r="F195" s="101"/>
      <c r="G195" s="101"/>
      <c r="H195" s="101"/>
      <c r="I195" s="101"/>
      <c r="J195" s="101"/>
      <c r="K195" s="101"/>
      <c r="L195" s="101"/>
      <c r="M195" s="101"/>
      <c r="N195" s="101"/>
      <c r="O195" s="101"/>
      <c r="P195" s="101"/>
      <c r="Q195" s="101"/>
      <c r="R195" s="101"/>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row>
    <row r="196" spans="1:41">
      <c r="A196" s="115"/>
      <c r="B196" s="116"/>
      <c r="C196" s="117"/>
      <c r="D196" s="116"/>
      <c r="E196" s="101"/>
      <c r="F196" s="101"/>
      <c r="G196" s="101"/>
      <c r="H196" s="101"/>
      <c r="I196" s="101"/>
      <c r="J196" s="101"/>
      <c r="K196" s="101"/>
      <c r="L196" s="101"/>
      <c r="M196" s="101"/>
      <c r="N196" s="101"/>
      <c r="O196" s="101"/>
      <c r="P196" s="101"/>
      <c r="Q196" s="101"/>
      <c r="R196" s="101"/>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row>
    <row r="197" spans="1:41">
      <c r="A197" s="115"/>
      <c r="B197" s="116"/>
      <c r="C197" s="117"/>
      <c r="D197" s="116"/>
      <c r="E197" s="101"/>
      <c r="F197" s="101"/>
      <c r="G197" s="101"/>
      <c r="H197" s="101"/>
      <c r="I197" s="101"/>
      <c r="J197" s="101"/>
      <c r="K197" s="101"/>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row>
    <row r="198" spans="1:41">
      <c r="A198" s="115"/>
      <c r="B198" s="116"/>
      <c r="C198" s="117"/>
      <c r="D198" s="116"/>
      <c r="E198" s="101"/>
      <c r="F198" s="101"/>
      <c r="G198" s="101"/>
      <c r="H198" s="101"/>
      <c r="I198" s="101"/>
      <c r="J198" s="101"/>
      <c r="K198" s="101"/>
      <c r="L198" s="101"/>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row>
    <row r="199" spans="1:41">
      <c r="A199" s="115"/>
      <c r="B199" s="116"/>
      <c r="C199" s="117"/>
      <c r="D199" s="116"/>
      <c r="E199" s="101"/>
      <c r="F199" s="101"/>
      <c r="G199" s="101"/>
      <c r="H199" s="101"/>
      <c r="I199" s="101"/>
      <c r="J199" s="101"/>
      <c r="K199" s="101"/>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row>
    <row r="200" spans="1:41">
      <c r="A200" s="115"/>
      <c r="B200" s="116"/>
      <c r="C200" s="117"/>
      <c r="D200" s="116"/>
      <c r="E200" s="101"/>
      <c r="F200" s="101"/>
      <c r="G200" s="101"/>
      <c r="H200" s="101"/>
      <c r="I200" s="101"/>
      <c r="J200" s="101"/>
      <c r="K200" s="101"/>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row>
    <row r="201" spans="1:41">
      <c r="A201" s="115"/>
      <c r="B201" s="116"/>
      <c r="C201" s="117"/>
      <c r="D201" s="116"/>
      <c r="E201" s="101"/>
      <c r="F201" s="101"/>
      <c r="G201" s="101"/>
      <c r="H201" s="101"/>
      <c r="I201" s="101"/>
      <c r="J201" s="101"/>
      <c r="K201" s="101"/>
      <c r="L201" s="101"/>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row>
    <row r="202" spans="1:41">
      <c r="A202" s="115"/>
      <c r="B202" s="116"/>
      <c r="C202" s="117"/>
      <c r="D202" s="116"/>
      <c r="E202" s="101"/>
      <c r="F202" s="101"/>
      <c r="G202" s="101"/>
      <c r="H202" s="101"/>
      <c r="I202" s="101"/>
      <c r="J202" s="101"/>
      <c r="K202" s="101"/>
      <c r="L202" s="101"/>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row>
    <row r="203" spans="1:41">
      <c r="A203" s="115"/>
      <c r="B203" s="116"/>
      <c r="C203" s="117"/>
      <c r="D203" s="116"/>
      <c r="E203" s="101"/>
      <c r="F203" s="101"/>
      <c r="G203" s="101"/>
      <c r="H203" s="101"/>
      <c r="I203" s="101"/>
      <c r="J203" s="101"/>
      <c r="K203" s="101"/>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row>
    <row r="204" spans="1:41">
      <c r="A204" s="115"/>
      <c r="B204" s="116"/>
      <c r="C204" s="117"/>
      <c r="D204" s="116"/>
      <c r="E204" s="101"/>
      <c r="F204" s="101"/>
      <c r="G204" s="101"/>
      <c r="H204" s="101"/>
      <c r="I204" s="101"/>
      <c r="J204" s="101"/>
      <c r="K204" s="101"/>
      <c r="L204" s="101"/>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row>
    <row r="205" spans="1:41">
      <c r="A205" s="115"/>
      <c r="B205" s="116"/>
      <c r="C205" s="117"/>
      <c r="D205" s="116"/>
      <c r="E205" s="101"/>
      <c r="F205" s="101"/>
      <c r="G205" s="101"/>
      <c r="H205" s="101"/>
      <c r="I205" s="101"/>
      <c r="J205" s="101"/>
      <c r="K205" s="101"/>
      <c r="L205" s="101"/>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row>
    <row r="206" spans="1:41">
      <c r="A206" s="115"/>
      <c r="B206" s="116"/>
      <c r="C206" s="117"/>
      <c r="D206" s="116"/>
      <c r="E206" s="101"/>
      <c r="F206" s="101"/>
      <c r="G206" s="101"/>
      <c r="H206" s="101"/>
      <c r="I206" s="101"/>
      <c r="J206" s="101"/>
      <c r="K206" s="101"/>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row>
    <row r="207" spans="1:41">
      <c r="A207" s="115"/>
      <c r="B207" s="116"/>
      <c r="C207" s="117"/>
      <c r="D207" s="116"/>
      <c r="E207" s="101"/>
      <c r="F207" s="101"/>
      <c r="G207" s="101"/>
      <c r="H207" s="101"/>
      <c r="I207" s="101"/>
      <c r="J207" s="101"/>
      <c r="K207" s="101"/>
      <c r="L207" s="101"/>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row>
    <row r="208" spans="1:41">
      <c r="A208" s="115"/>
      <c r="B208" s="116"/>
      <c r="C208" s="117"/>
      <c r="D208" s="116"/>
      <c r="E208" s="101"/>
      <c r="F208" s="101"/>
      <c r="G208" s="101"/>
      <c r="H208" s="101"/>
      <c r="I208" s="101"/>
      <c r="J208" s="101"/>
      <c r="K208" s="101"/>
      <c r="L208" s="101"/>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row>
    <row r="209" spans="1:41">
      <c r="A209" s="115"/>
      <c r="B209" s="116"/>
      <c r="C209" s="117"/>
      <c r="D209" s="116"/>
      <c r="E209" s="101"/>
      <c r="F209" s="101"/>
      <c r="G209" s="101"/>
      <c r="H209" s="101"/>
      <c r="I209" s="101"/>
      <c r="J209" s="101"/>
      <c r="K209" s="101"/>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row>
    <row r="210" spans="1:41">
      <c r="A210" s="115"/>
      <c r="B210" s="116"/>
      <c r="C210" s="117"/>
      <c r="D210" s="116"/>
      <c r="E210" s="101"/>
      <c r="F210" s="101"/>
      <c r="G210" s="101"/>
      <c r="H210" s="101"/>
      <c r="I210" s="101"/>
      <c r="J210" s="101"/>
      <c r="K210" s="101"/>
      <c r="L210" s="101"/>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row>
    <row r="211" spans="1:41">
      <c r="A211" s="115"/>
      <c r="B211" s="116"/>
      <c r="C211" s="117"/>
      <c r="D211" s="116"/>
      <c r="E211" s="101"/>
      <c r="F211" s="101"/>
      <c r="G211" s="101"/>
      <c r="H211" s="101"/>
      <c r="I211" s="101"/>
      <c r="J211" s="101"/>
      <c r="K211" s="101"/>
      <c r="L211" s="101"/>
      <c r="M211" s="101"/>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row>
    <row r="212" spans="1:41">
      <c r="A212" s="115"/>
      <c r="B212" s="116"/>
      <c r="C212" s="117"/>
      <c r="D212" s="116"/>
      <c r="E212" s="101"/>
      <c r="F212" s="101"/>
      <c r="G212" s="101"/>
      <c r="H212" s="101"/>
      <c r="I212" s="101"/>
      <c r="J212" s="101"/>
      <c r="K212" s="101"/>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row>
    <row r="213" spans="1:41">
      <c r="A213" s="115"/>
      <c r="B213" s="116"/>
      <c r="C213" s="117"/>
      <c r="D213" s="116"/>
      <c r="E213" s="101"/>
      <c r="F213" s="101"/>
      <c r="G213" s="101"/>
      <c r="H213" s="101"/>
      <c r="I213" s="101"/>
      <c r="J213" s="101"/>
      <c r="K213" s="101"/>
      <c r="L213" s="101"/>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row>
    <row r="214" spans="1:41">
      <c r="A214" s="115"/>
      <c r="B214" s="116"/>
      <c r="C214" s="117"/>
      <c r="D214" s="116"/>
      <c r="E214" s="101"/>
      <c r="F214" s="101"/>
      <c r="G214" s="101"/>
      <c r="H214" s="101"/>
      <c r="I214" s="101"/>
      <c r="J214" s="101"/>
      <c r="K214" s="101"/>
      <c r="L214" s="101"/>
      <c r="M214" s="101"/>
      <c r="N214" s="101"/>
      <c r="O214" s="101"/>
      <c r="P214" s="101"/>
      <c r="Q214" s="101"/>
      <c r="R214" s="101"/>
      <c r="S214" s="101"/>
      <c r="T214" s="101"/>
      <c r="U214" s="101"/>
      <c r="V214" s="101"/>
      <c r="W214" s="101"/>
      <c r="X214" s="101"/>
      <c r="Y214" s="101"/>
      <c r="Z214" s="101"/>
      <c r="AA214" s="101"/>
      <c r="AB214" s="101"/>
      <c r="AC214" s="101"/>
      <c r="AD214" s="101"/>
      <c r="AE214" s="101"/>
      <c r="AF214" s="101"/>
      <c r="AG214" s="101"/>
      <c r="AH214" s="101"/>
      <c r="AI214" s="101"/>
      <c r="AJ214" s="101"/>
      <c r="AK214" s="101"/>
      <c r="AL214" s="101"/>
      <c r="AM214" s="101"/>
      <c r="AN214" s="101"/>
      <c r="AO214" s="101"/>
    </row>
    <row r="215" spans="1:41">
      <c r="A215" s="115"/>
      <c r="B215" s="116"/>
      <c r="C215" s="117"/>
      <c r="D215" s="116"/>
      <c r="E215" s="101"/>
      <c r="F215" s="101"/>
      <c r="G215" s="101"/>
      <c r="H215" s="101"/>
      <c r="I215" s="101"/>
      <c r="J215" s="101"/>
      <c r="K215" s="101"/>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row>
    <row r="216" spans="1:41">
      <c r="A216" s="115"/>
      <c r="B216" s="116"/>
      <c r="C216" s="117"/>
      <c r="D216" s="116"/>
      <c r="E216" s="101"/>
      <c r="F216" s="101"/>
      <c r="G216" s="101"/>
      <c r="H216" s="101"/>
      <c r="I216" s="101"/>
      <c r="J216" s="101"/>
      <c r="K216" s="101"/>
      <c r="L216" s="101"/>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row>
    <row r="217" spans="1:41">
      <c r="A217" s="115"/>
      <c r="B217" s="116"/>
      <c r="C217" s="117"/>
      <c r="D217" s="116"/>
      <c r="E217" s="101"/>
      <c r="F217" s="101"/>
      <c r="G217" s="101"/>
      <c r="H217" s="101"/>
      <c r="I217" s="101"/>
      <c r="J217" s="101"/>
      <c r="K217" s="101"/>
      <c r="L217" s="101"/>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row>
    <row r="218" spans="1:41">
      <c r="A218" s="115"/>
      <c r="B218" s="116"/>
      <c r="C218" s="117"/>
      <c r="D218" s="116"/>
      <c r="E218" s="101"/>
      <c r="F218" s="101"/>
      <c r="G218" s="101"/>
      <c r="H218" s="101"/>
      <c r="I218" s="101"/>
      <c r="J218" s="101"/>
      <c r="K218" s="101"/>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row>
    <row r="219" spans="1:41">
      <c r="A219" s="115"/>
      <c r="B219" s="116"/>
      <c r="C219" s="117"/>
      <c r="D219" s="116"/>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row>
    <row r="220" spans="1:41">
      <c r="A220" s="115"/>
      <c r="B220" s="116"/>
      <c r="C220" s="117"/>
      <c r="D220" s="116"/>
      <c r="E220" s="101"/>
      <c r="F220" s="101"/>
      <c r="G220" s="101"/>
      <c r="H220" s="101"/>
      <c r="I220" s="101"/>
      <c r="J220" s="101"/>
      <c r="K220" s="101"/>
      <c r="L220" s="101"/>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row>
    <row r="221" spans="1:41">
      <c r="A221" s="115"/>
      <c r="B221" s="116"/>
      <c r="C221" s="117"/>
      <c r="D221" s="116"/>
      <c r="E221" s="101"/>
      <c r="F221" s="101"/>
      <c r="G221" s="101"/>
      <c r="H221" s="101"/>
      <c r="I221" s="101"/>
      <c r="J221" s="101"/>
      <c r="K221" s="101"/>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row>
    <row r="222" spans="1:41">
      <c r="A222" s="115"/>
      <c r="B222" s="116"/>
      <c r="C222" s="117"/>
      <c r="D222" s="116"/>
      <c r="E222" s="101"/>
      <c r="F222" s="101"/>
      <c r="G222" s="101"/>
      <c r="H222" s="101"/>
      <c r="I222" s="101"/>
      <c r="J222" s="101"/>
      <c r="K222" s="101"/>
      <c r="L222" s="101"/>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row>
    <row r="223" spans="1:41">
      <c r="A223" s="115"/>
      <c r="B223" s="116"/>
      <c r="C223" s="117"/>
      <c r="D223" s="116"/>
      <c r="E223" s="101"/>
      <c r="F223" s="101"/>
      <c r="G223" s="101"/>
      <c r="H223" s="101"/>
      <c r="I223" s="101"/>
      <c r="J223" s="101"/>
      <c r="K223" s="101"/>
      <c r="L223" s="101"/>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row>
    <row r="224" spans="1:41">
      <c r="A224" s="115"/>
      <c r="B224" s="116"/>
      <c r="C224" s="117"/>
      <c r="D224" s="116"/>
      <c r="E224" s="101"/>
      <c r="F224" s="101"/>
      <c r="G224" s="101"/>
      <c r="H224" s="101"/>
      <c r="I224" s="101"/>
      <c r="J224" s="101"/>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row>
    <row r="225" spans="1:41">
      <c r="A225" s="115"/>
      <c r="B225" s="116"/>
      <c r="C225" s="117"/>
      <c r="D225" s="116"/>
      <c r="E225" s="101"/>
      <c r="F225" s="101"/>
      <c r="G225" s="101"/>
      <c r="H225" s="101"/>
      <c r="I225" s="101"/>
      <c r="J225" s="101"/>
      <c r="K225" s="101"/>
      <c r="L225" s="101"/>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row>
    <row r="226" spans="1:41">
      <c r="A226" s="115"/>
      <c r="B226" s="116"/>
      <c r="C226" s="117"/>
      <c r="D226" s="116"/>
      <c r="E226" s="101"/>
      <c r="F226" s="101"/>
      <c r="G226" s="101"/>
      <c r="H226" s="101"/>
      <c r="I226" s="101"/>
      <c r="J226" s="101"/>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row>
    <row r="227" spans="1:41">
      <c r="A227" s="115"/>
      <c r="B227" s="116"/>
      <c r="C227" s="117"/>
      <c r="D227" s="116"/>
      <c r="E227" s="101"/>
      <c r="F227" s="101"/>
      <c r="G227" s="101"/>
      <c r="H227" s="101"/>
      <c r="I227" s="101"/>
      <c r="J227" s="101"/>
      <c r="K227" s="101"/>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row>
    <row r="228" spans="1:41">
      <c r="A228" s="115"/>
      <c r="B228" s="116"/>
      <c r="C228" s="117"/>
      <c r="D228" s="116"/>
      <c r="E228" s="101"/>
      <c r="F228" s="101"/>
      <c r="G228" s="101"/>
      <c r="H228" s="101"/>
      <c r="I228" s="101"/>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row>
    <row r="229" spans="1:41">
      <c r="A229" s="115"/>
      <c r="B229" s="116"/>
      <c r="C229" s="117"/>
      <c r="D229" s="116"/>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row>
    <row r="230" spans="1:41">
      <c r="A230" s="115"/>
      <c r="B230" s="116"/>
      <c r="C230" s="117"/>
      <c r="D230" s="116"/>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row>
    <row r="231" spans="1:41">
      <c r="A231" s="115"/>
      <c r="B231" s="116"/>
      <c r="C231" s="117"/>
      <c r="D231" s="116"/>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row>
    <row r="232" spans="1:41">
      <c r="A232" s="115"/>
      <c r="B232" s="116"/>
      <c r="C232" s="117"/>
      <c r="D232" s="116"/>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row>
    <row r="233" spans="1:41">
      <c r="A233" s="115"/>
      <c r="B233" s="116"/>
      <c r="C233" s="117"/>
      <c r="D233" s="116"/>
      <c r="E233" s="101"/>
      <c r="F233" s="101"/>
      <c r="G233" s="101"/>
      <c r="H233" s="101"/>
      <c r="I233" s="101"/>
      <c r="J233" s="101"/>
      <c r="K233" s="101"/>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row>
    <row r="234" spans="1:41">
      <c r="A234" s="115"/>
      <c r="B234" s="116"/>
      <c r="C234" s="117"/>
      <c r="D234" s="116"/>
      <c r="E234" s="101"/>
      <c r="F234" s="101"/>
      <c r="G234" s="101"/>
      <c r="H234" s="101"/>
      <c r="I234" s="101"/>
      <c r="J234" s="101"/>
      <c r="K234" s="101"/>
      <c r="L234" s="101"/>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row>
    <row r="235" spans="1:41">
      <c r="A235" s="115"/>
      <c r="B235" s="116"/>
      <c r="C235" s="117"/>
      <c r="D235" s="116"/>
      <c r="E235" s="101"/>
      <c r="F235" s="101"/>
      <c r="G235" s="101"/>
      <c r="H235" s="101"/>
      <c r="I235" s="101"/>
      <c r="J235" s="101"/>
      <c r="K235" s="101"/>
      <c r="L235" s="101"/>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row>
    <row r="236" spans="1:41">
      <c r="A236" s="115"/>
      <c r="B236" s="116"/>
      <c r="C236" s="117"/>
      <c r="D236" s="116"/>
      <c r="E236" s="101"/>
      <c r="F236" s="101"/>
      <c r="G236" s="101"/>
      <c r="H236" s="101"/>
      <c r="I236" s="101"/>
      <c r="J236" s="101"/>
      <c r="K236" s="101"/>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row>
    <row r="237" spans="1:41">
      <c r="A237" s="115"/>
      <c r="B237" s="116"/>
      <c r="C237" s="117"/>
      <c r="D237" s="116"/>
      <c r="E237" s="101"/>
      <c r="F237" s="101"/>
      <c r="G237" s="101"/>
      <c r="H237" s="101"/>
      <c r="I237" s="101"/>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row>
    <row r="238" spans="1:41">
      <c r="A238" s="115"/>
      <c r="B238" s="116"/>
      <c r="C238" s="117"/>
      <c r="D238" s="116"/>
      <c r="E238" s="101"/>
      <c r="F238" s="101"/>
      <c r="G238" s="101"/>
      <c r="H238" s="101"/>
      <c r="I238" s="101"/>
      <c r="J238" s="101"/>
      <c r="K238" s="101"/>
      <c r="L238" s="101"/>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row>
    <row r="239" spans="1:41">
      <c r="A239" s="115"/>
      <c r="B239" s="116"/>
      <c r="C239" s="117"/>
      <c r="D239" s="116"/>
      <c r="E239" s="101"/>
      <c r="F239" s="101"/>
      <c r="G239" s="101"/>
      <c r="H239" s="101"/>
      <c r="I239" s="101"/>
      <c r="J239" s="101"/>
      <c r="K239" s="101"/>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row>
    <row r="240" spans="1:41">
      <c r="A240" s="115"/>
      <c r="B240" s="116"/>
      <c r="C240" s="117"/>
      <c r="D240" s="116"/>
      <c r="E240" s="101"/>
      <c r="F240" s="101"/>
      <c r="G240" s="101"/>
      <c r="H240" s="101"/>
      <c r="I240" s="101"/>
      <c r="J240" s="101"/>
      <c r="K240" s="101"/>
      <c r="L240" s="101"/>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row>
    <row r="241" spans="1:41">
      <c r="A241" s="115"/>
      <c r="B241" s="116"/>
      <c r="C241" s="117"/>
      <c r="D241" s="116"/>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row>
    <row r="242" spans="1:41">
      <c r="A242" s="115"/>
      <c r="B242" s="116"/>
      <c r="C242" s="117"/>
      <c r="D242" s="116"/>
      <c r="E242" s="101"/>
      <c r="F242" s="101"/>
      <c r="G242" s="101"/>
      <c r="H242" s="101"/>
      <c r="I242" s="101"/>
      <c r="J242" s="101"/>
      <c r="K242" s="101"/>
      <c r="L242" s="101"/>
      <c r="M242" s="101"/>
      <c r="N242" s="101"/>
      <c r="O242" s="101"/>
      <c r="P242" s="101"/>
      <c r="Q242" s="101"/>
      <c r="R242" s="101"/>
      <c r="S242" s="101"/>
      <c r="T242" s="101"/>
      <c r="U242" s="101"/>
      <c r="V242" s="101"/>
      <c r="W242" s="101"/>
      <c r="X242" s="101"/>
      <c r="Y242" s="101"/>
      <c r="Z242" s="101"/>
      <c r="AA242" s="101"/>
      <c r="AB242" s="101"/>
      <c r="AC242" s="101"/>
      <c r="AD242" s="101"/>
      <c r="AE242" s="101"/>
      <c r="AF242" s="101"/>
      <c r="AG242" s="101"/>
      <c r="AH242" s="101"/>
      <c r="AI242" s="101"/>
      <c r="AJ242" s="101"/>
      <c r="AK242" s="101"/>
      <c r="AL242" s="101"/>
      <c r="AM242" s="101"/>
      <c r="AN242" s="101"/>
      <c r="AO242" s="101"/>
    </row>
    <row r="243" spans="1:41">
      <c r="A243" s="115"/>
      <c r="B243" s="116"/>
      <c r="C243" s="117"/>
      <c r="D243" s="116"/>
      <c r="E243" s="101"/>
      <c r="F243" s="101"/>
      <c r="G243" s="101"/>
      <c r="H243" s="101"/>
      <c r="I243" s="101"/>
      <c r="J243" s="101"/>
      <c r="K243" s="101"/>
      <c r="L243" s="101"/>
      <c r="M243" s="101"/>
      <c r="N243" s="101"/>
      <c r="O243" s="101"/>
      <c r="P243" s="101"/>
      <c r="Q243" s="101"/>
      <c r="R243" s="101"/>
      <c r="S243" s="101"/>
      <c r="T243" s="101"/>
      <c r="U243" s="101"/>
      <c r="V243" s="101"/>
      <c r="W243" s="101"/>
      <c r="X243" s="101"/>
      <c r="Y243" s="101"/>
      <c r="Z243" s="101"/>
      <c r="AA243" s="101"/>
      <c r="AB243" s="101"/>
      <c r="AC243" s="101"/>
      <c r="AD243" s="101"/>
      <c r="AE243" s="101"/>
      <c r="AF243" s="101"/>
      <c r="AG243" s="101"/>
      <c r="AH243" s="101"/>
      <c r="AI243" s="101"/>
      <c r="AJ243" s="101"/>
      <c r="AK243" s="101"/>
      <c r="AL243" s="101"/>
      <c r="AM243" s="101"/>
      <c r="AN243" s="101"/>
      <c r="AO243" s="101"/>
    </row>
    <row r="244" spans="1:41">
      <c r="A244" s="115"/>
      <c r="B244" s="116"/>
      <c r="C244" s="117"/>
      <c r="D244" s="116"/>
      <c r="E244" s="101"/>
      <c r="F244" s="101"/>
      <c r="G244" s="101"/>
      <c r="H244" s="101"/>
      <c r="I244" s="101"/>
      <c r="J244" s="101"/>
      <c r="K244" s="101"/>
      <c r="L244" s="101"/>
      <c r="M244" s="101"/>
      <c r="N244" s="101"/>
      <c r="O244" s="101"/>
      <c r="P244" s="101"/>
      <c r="Q244" s="101"/>
      <c r="R244" s="101"/>
      <c r="S244" s="101"/>
      <c r="T244" s="101"/>
      <c r="U244" s="101"/>
      <c r="V244" s="101"/>
      <c r="W244" s="101"/>
      <c r="X244" s="101"/>
      <c r="Y244" s="101"/>
      <c r="Z244" s="101"/>
      <c r="AA244" s="101"/>
      <c r="AB244" s="101"/>
      <c r="AC244" s="101"/>
      <c r="AD244" s="101"/>
      <c r="AE244" s="101"/>
      <c r="AF244" s="101"/>
      <c r="AG244" s="101"/>
      <c r="AH244" s="101"/>
      <c r="AI244" s="101"/>
      <c r="AJ244" s="101"/>
      <c r="AK244" s="101"/>
      <c r="AL244" s="101"/>
      <c r="AM244" s="101"/>
      <c r="AN244" s="101"/>
      <c r="AO244" s="101"/>
    </row>
    <row r="245" spans="1:41">
      <c r="A245" s="115"/>
      <c r="B245" s="116"/>
      <c r="C245" s="117"/>
      <c r="D245" s="116"/>
      <c r="E245" s="101"/>
      <c r="F245" s="101"/>
      <c r="G245" s="101"/>
      <c r="H245" s="101"/>
      <c r="I245" s="101"/>
      <c r="J245" s="101"/>
      <c r="K245" s="101"/>
      <c r="L245" s="101"/>
      <c r="M245" s="101"/>
      <c r="N245" s="101"/>
      <c r="O245" s="101"/>
      <c r="P245" s="101"/>
      <c r="Q245" s="101"/>
      <c r="R245" s="101"/>
      <c r="S245" s="101"/>
      <c r="T245" s="101"/>
      <c r="U245" s="101"/>
      <c r="V245" s="101"/>
      <c r="W245" s="101"/>
      <c r="X245" s="101"/>
      <c r="Y245" s="101"/>
      <c r="Z245" s="101"/>
      <c r="AA245" s="101"/>
      <c r="AB245" s="101"/>
      <c r="AC245" s="101"/>
      <c r="AD245" s="101"/>
      <c r="AE245" s="101"/>
      <c r="AF245" s="101"/>
      <c r="AG245" s="101"/>
      <c r="AH245" s="101"/>
      <c r="AI245" s="101"/>
      <c r="AJ245" s="101"/>
      <c r="AK245" s="101"/>
      <c r="AL245" s="101"/>
      <c r="AM245" s="101"/>
      <c r="AN245" s="101"/>
      <c r="AO245" s="101"/>
    </row>
    <row r="246" spans="1:41">
      <c r="A246" s="115"/>
      <c r="B246" s="116"/>
      <c r="C246" s="117"/>
      <c r="D246" s="116"/>
      <c r="E246" s="101"/>
      <c r="F246" s="101"/>
      <c r="G246" s="101"/>
      <c r="H246" s="101"/>
      <c r="I246" s="101"/>
      <c r="J246" s="101"/>
      <c r="K246" s="101"/>
      <c r="L246" s="101"/>
      <c r="M246" s="101"/>
      <c r="N246" s="101"/>
      <c r="O246" s="101"/>
      <c r="P246" s="101"/>
      <c r="Q246" s="101"/>
      <c r="R246" s="101"/>
      <c r="S246" s="101"/>
      <c r="T246" s="101"/>
      <c r="U246" s="101"/>
      <c r="V246" s="101"/>
      <c r="W246" s="101"/>
      <c r="X246" s="101"/>
      <c r="Y246" s="101"/>
      <c r="Z246" s="101"/>
      <c r="AA246" s="101"/>
      <c r="AB246" s="101"/>
      <c r="AC246" s="101"/>
      <c r="AD246" s="101"/>
      <c r="AE246" s="101"/>
      <c r="AF246" s="101"/>
      <c r="AG246" s="101"/>
      <c r="AH246" s="101"/>
      <c r="AI246" s="101"/>
      <c r="AJ246" s="101"/>
      <c r="AK246" s="101"/>
      <c r="AL246" s="101"/>
      <c r="AM246" s="101"/>
      <c r="AN246" s="101"/>
      <c r="AO246" s="101"/>
    </row>
    <row r="247" spans="1:41">
      <c r="A247" s="115"/>
      <c r="B247" s="116"/>
      <c r="C247" s="117"/>
      <c r="D247" s="116"/>
      <c r="E247" s="101"/>
      <c r="F247" s="101"/>
      <c r="G247" s="101"/>
      <c r="H247" s="101"/>
      <c r="I247" s="101"/>
      <c r="J247" s="101"/>
      <c r="K247" s="101"/>
      <c r="L247" s="101"/>
      <c r="M247" s="101"/>
      <c r="N247" s="101"/>
      <c r="O247" s="101"/>
      <c r="P247" s="101"/>
      <c r="Q247" s="101"/>
      <c r="R247" s="101"/>
      <c r="S247" s="101"/>
      <c r="T247" s="101"/>
      <c r="U247" s="101"/>
      <c r="V247" s="101"/>
      <c r="W247" s="101"/>
      <c r="X247" s="101"/>
      <c r="Y247" s="101"/>
      <c r="Z247" s="101"/>
      <c r="AA247" s="101"/>
      <c r="AB247" s="101"/>
      <c r="AC247" s="101"/>
      <c r="AD247" s="101"/>
      <c r="AE247" s="101"/>
      <c r="AF247" s="101"/>
      <c r="AG247" s="101"/>
      <c r="AH247" s="101"/>
      <c r="AI247" s="101"/>
      <c r="AJ247" s="101"/>
      <c r="AK247" s="101"/>
      <c r="AL247" s="101"/>
      <c r="AM247" s="101"/>
      <c r="AN247" s="101"/>
      <c r="AO247" s="101"/>
    </row>
    <row r="248" spans="1:41">
      <c r="A248" s="115"/>
      <c r="B248" s="116"/>
      <c r="C248" s="117"/>
      <c r="D248" s="116"/>
      <c r="E248" s="101"/>
      <c r="F248" s="101"/>
      <c r="G248" s="101"/>
      <c r="H248" s="101"/>
      <c r="I248" s="101"/>
      <c r="J248" s="101"/>
      <c r="K248" s="101"/>
      <c r="L248" s="101"/>
      <c r="M248" s="101"/>
      <c r="N248" s="101"/>
      <c r="O248" s="101"/>
      <c r="P248" s="101"/>
      <c r="Q248" s="101"/>
      <c r="R248" s="101"/>
      <c r="S248" s="101"/>
      <c r="T248" s="101"/>
      <c r="U248" s="101"/>
      <c r="V248" s="101"/>
      <c r="W248" s="101"/>
      <c r="X248" s="101"/>
      <c r="Y248" s="101"/>
      <c r="Z248" s="101"/>
      <c r="AA248" s="101"/>
      <c r="AB248" s="101"/>
      <c r="AC248" s="101"/>
      <c r="AD248" s="101"/>
      <c r="AE248" s="101"/>
      <c r="AF248" s="101"/>
      <c r="AG248" s="101"/>
      <c r="AH248" s="101"/>
      <c r="AI248" s="101"/>
      <c r="AJ248" s="101"/>
      <c r="AK248" s="101"/>
      <c r="AL248" s="101"/>
      <c r="AM248" s="101"/>
      <c r="AN248" s="101"/>
      <c r="AO248" s="101"/>
    </row>
    <row r="249" spans="1:41">
      <c r="A249" s="115"/>
      <c r="B249" s="116"/>
      <c r="C249" s="117"/>
      <c r="D249" s="116"/>
      <c r="E249" s="101"/>
      <c r="F249" s="101"/>
      <c r="G249" s="101"/>
      <c r="H249" s="101"/>
      <c r="I249" s="101"/>
      <c r="J249" s="101"/>
      <c r="K249" s="101"/>
      <c r="L249" s="101"/>
      <c r="M249" s="101"/>
      <c r="N249" s="101"/>
      <c r="O249" s="101"/>
      <c r="P249" s="101"/>
      <c r="Q249" s="101"/>
      <c r="R249" s="101"/>
      <c r="S249" s="101"/>
      <c r="T249" s="101"/>
      <c r="U249" s="101"/>
      <c r="V249" s="101"/>
      <c r="W249" s="101"/>
      <c r="X249" s="101"/>
      <c r="Y249" s="101"/>
      <c r="Z249" s="101"/>
      <c r="AA249" s="101"/>
      <c r="AB249" s="101"/>
      <c r="AC249" s="101"/>
      <c r="AD249" s="101"/>
      <c r="AE249" s="101"/>
      <c r="AF249" s="101"/>
      <c r="AG249" s="101"/>
      <c r="AH249" s="101"/>
      <c r="AI249" s="101"/>
      <c r="AJ249" s="101"/>
      <c r="AK249" s="101"/>
      <c r="AL249" s="101"/>
      <c r="AM249" s="101"/>
      <c r="AN249" s="101"/>
      <c r="AO249" s="101"/>
    </row>
    <row r="250" spans="1:41">
      <c r="A250" s="115"/>
      <c r="B250" s="116"/>
      <c r="C250" s="117"/>
      <c r="D250" s="116"/>
      <c r="E250" s="101"/>
      <c r="F250" s="101"/>
      <c r="G250" s="101"/>
      <c r="H250" s="101"/>
      <c r="I250" s="101"/>
      <c r="J250" s="101"/>
      <c r="K250" s="101"/>
      <c r="L250" s="101"/>
      <c r="M250" s="101"/>
      <c r="N250" s="101"/>
      <c r="O250" s="101"/>
      <c r="P250" s="101"/>
      <c r="Q250" s="101"/>
      <c r="R250" s="101"/>
      <c r="S250" s="101"/>
      <c r="T250" s="101"/>
      <c r="U250" s="101"/>
      <c r="V250" s="101"/>
      <c r="W250" s="101"/>
      <c r="X250" s="101"/>
      <c r="Y250" s="101"/>
      <c r="Z250" s="101"/>
      <c r="AA250" s="101"/>
      <c r="AB250" s="101"/>
      <c r="AC250" s="101"/>
      <c r="AD250" s="101"/>
      <c r="AE250" s="101"/>
      <c r="AF250" s="101"/>
      <c r="AG250" s="101"/>
      <c r="AH250" s="101"/>
      <c r="AI250" s="101"/>
      <c r="AJ250" s="101"/>
      <c r="AK250" s="101"/>
      <c r="AL250" s="101"/>
      <c r="AM250" s="101"/>
      <c r="AN250" s="101"/>
      <c r="AO250" s="101"/>
    </row>
    <row r="251" spans="1:41">
      <c r="A251" s="115"/>
      <c r="B251" s="116"/>
      <c r="C251" s="117"/>
      <c r="D251" s="116"/>
      <c r="E251" s="101"/>
      <c r="F251" s="101"/>
      <c r="G251" s="101"/>
      <c r="H251" s="101"/>
      <c r="I251" s="101"/>
      <c r="J251" s="101"/>
      <c r="K251" s="101"/>
      <c r="L251" s="101"/>
      <c r="M251" s="101"/>
      <c r="N251" s="101"/>
      <c r="O251" s="101"/>
      <c r="P251" s="101"/>
      <c r="Q251" s="101"/>
      <c r="R251" s="101"/>
      <c r="S251" s="101"/>
      <c r="T251" s="101"/>
      <c r="U251" s="101"/>
      <c r="V251" s="101"/>
      <c r="W251" s="101"/>
      <c r="X251" s="101"/>
      <c r="Y251" s="101"/>
      <c r="Z251" s="101"/>
      <c r="AA251" s="101"/>
      <c r="AB251" s="101"/>
      <c r="AC251" s="101"/>
      <c r="AD251" s="101"/>
      <c r="AE251" s="101"/>
      <c r="AF251" s="101"/>
      <c r="AG251" s="101"/>
      <c r="AH251" s="101"/>
      <c r="AI251" s="101"/>
      <c r="AJ251" s="101"/>
      <c r="AK251" s="101"/>
      <c r="AL251" s="101"/>
      <c r="AM251" s="101"/>
      <c r="AN251" s="101"/>
      <c r="AO251" s="101"/>
    </row>
    <row r="252" spans="1:41">
      <c r="A252" s="115"/>
      <c r="B252" s="116"/>
      <c r="C252" s="117"/>
      <c r="D252" s="116"/>
      <c r="E252" s="101"/>
      <c r="F252" s="101"/>
      <c r="G252" s="101"/>
      <c r="H252" s="101"/>
      <c r="I252" s="101"/>
      <c r="J252" s="101"/>
      <c r="K252" s="101"/>
      <c r="L252" s="101"/>
      <c r="M252" s="101"/>
      <c r="N252" s="101"/>
      <c r="O252" s="101"/>
      <c r="P252" s="101"/>
      <c r="Q252" s="101"/>
      <c r="R252" s="101"/>
      <c r="S252" s="101"/>
      <c r="T252" s="101"/>
      <c r="U252" s="101"/>
      <c r="V252" s="101"/>
      <c r="W252" s="101"/>
      <c r="X252" s="101"/>
      <c r="Y252" s="101"/>
      <c r="Z252" s="101"/>
      <c r="AA252" s="101"/>
      <c r="AB252" s="101"/>
      <c r="AC252" s="101"/>
      <c r="AD252" s="101"/>
      <c r="AE252" s="101"/>
      <c r="AF252" s="101"/>
      <c r="AG252" s="101"/>
      <c r="AH252" s="101"/>
      <c r="AI252" s="101"/>
      <c r="AJ252" s="101"/>
      <c r="AK252" s="101"/>
      <c r="AL252" s="101"/>
      <c r="AM252" s="101"/>
      <c r="AN252" s="101"/>
      <c r="AO252" s="101"/>
    </row>
    <row r="253" spans="1:41">
      <c r="A253" s="115"/>
      <c r="B253" s="116"/>
      <c r="C253" s="117"/>
      <c r="D253" s="116"/>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c r="AC253" s="101"/>
      <c r="AD253" s="101"/>
      <c r="AE253" s="101"/>
      <c r="AF253" s="101"/>
      <c r="AG253" s="101"/>
      <c r="AH253" s="101"/>
      <c r="AI253" s="101"/>
      <c r="AJ253" s="101"/>
      <c r="AK253" s="101"/>
      <c r="AL253" s="101"/>
      <c r="AM253" s="101"/>
      <c r="AN253" s="101"/>
      <c r="AO253" s="101"/>
    </row>
    <row r="254" spans="1:41">
      <c r="A254" s="115"/>
      <c r="B254" s="116"/>
      <c r="C254" s="117"/>
      <c r="D254" s="116"/>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c r="AC254" s="101"/>
      <c r="AD254" s="101"/>
      <c r="AE254" s="101"/>
      <c r="AF254" s="101"/>
      <c r="AG254" s="101"/>
      <c r="AH254" s="101"/>
      <c r="AI254" s="101"/>
      <c r="AJ254" s="101"/>
      <c r="AK254" s="101"/>
      <c r="AL254" s="101"/>
      <c r="AM254" s="101"/>
      <c r="AN254" s="101"/>
      <c r="AO254" s="101"/>
    </row>
    <row r="255" spans="1:41">
      <c r="A255" s="115"/>
      <c r="B255" s="116"/>
      <c r="C255" s="117"/>
      <c r="D255" s="116"/>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c r="AC255" s="101"/>
      <c r="AD255" s="101"/>
      <c r="AE255" s="101"/>
      <c r="AF255" s="101"/>
      <c r="AG255" s="101"/>
      <c r="AH255" s="101"/>
      <c r="AI255" s="101"/>
      <c r="AJ255" s="101"/>
      <c r="AK255" s="101"/>
      <c r="AL255" s="101"/>
      <c r="AM255" s="101"/>
      <c r="AN255" s="101"/>
      <c r="AO255" s="101"/>
    </row>
    <row r="256" spans="1:41">
      <c r="A256" s="115"/>
      <c r="B256" s="116"/>
      <c r="C256" s="117"/>
      <c r="D256" s="116"/>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c r="AC256" s="101"/>
      <c r="AD256" s="101"/>
      <c r="AE256" s="101"/>
      <c r="AF256" s="101"/>
      <c r="AG256" s="101"/>
      <c r="AH256" s="101"/>
      <c r="AI256" s="101"/>
      <c r="AJ256" s="101"/>
      <c r="AK256" s="101"/>
      <c r="AL256" s="101"/>
      <c r="AM256" s="101"/>
      <c r="AN256" s="101"/>
      <c r="AO256" s="101"/>
    </row>
    <row r="257" spans="1:41">
      <c r="A257" s="115"/>
      <c r="B257" s="116"/>
      <c r="C257" s="117"/>
      <c r="D257" s="116"/>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c r="AC257" s="101"/>
      <c r="AD257" s="101"/>
      <c r="AE257" s="101"/>
      <c r="AF257" s="101"/>
      <c r="AG257" s="101"/>
      <c r="AH257" s="101"/>
      <c r="AI257" s="101"/>
      <c r="AJ257" s="101"/>
      <c r="AK257" s="101"/>
      <c r="AL257" s="101"/>
      <c r="AM257" s="101"/>
      <c r="AN257" s="101"/>
      <c r="AO257" s="101"/>
    </row>
    <row r="258" spans="1:41">
      <c r="A258" s="115"/>
      <c r="B258" s="116"/>
      <c r="C258" s="117"/>
      <c r="D258" s="116"/>
      <c r="E258" s="101"/>
      <c r="F258" s="101"/>
      <c r="G258" s="101"/>
      <c r="H258" s="101"/>
      <c r="I258" s="101"/>
      <c r="J258" s="101"/>
      <c r="K258" s="101"/>
      <c r="L258" s="101"/>
      <c r="M258" s="101"/>
      <c r="N258" s="101"/>
      <c r="O258" s="101"/>
      <c r="P258" s="101"/>
      <c r="Q258" s="101"/>
      <c r="R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row>
    <row r="259" spans="1:41">
      <c r="A259" s="115"/>
      <c r="B259" s="116"/>
      <c r="C259" s="117"/>
      <c r="D259" s="116"/>
      <c r="E259" s="101"/>
      <c r="F259" s="101"/>
      <c r="G259" s="101"/>
      <c r="H259" s="101"/>
      <c r="I259" s="101"/>
      <c r="J259" s="101"/>
      <c r="K259" s="101"/>
      <c r="L259" s="101"/>
      <c r="M259" s="101"/>
      <c r="N259" s="101"/>
      <c r="O259" s="101"/>
      <c r="P259" s="101"/>
      <c r="Q259" s="101"/>
      <c r="R259" s="101"/>
      <c r="S259" s="101"/>
      <c r="T259" s="101"/>
      <c r="U259" s="101"/>
      <c r="V259" s="101"/>
      <c r="W259" s="101"/>
      <c r="X259" s="101"/>
      <c r="Y259" s="101"/>
      <c r="Z259" s="101"/>
      <c r="AA259" s="101"/>
      <c r="AB259" s="101"/>
      <c r="AC259" s="101"/>
      <c r="AD259" s="101"/>
      <c r="AE259" s="101"/>
      <c r="AF259" s="101"/>
      <c r="AG259" s="101"/>
      <c r="AH259" s="101"/>
      <c r="AI259" s="101"/>
      <c r="AJ259" s="101"/>
      <c r="AK259" s="101"/>
      <c r="AL259" s="101"/>
      <c r="AM259" s="101"/>
      <c r="AN259" s="101"/>
      <c r="AO259" s="101"/>
    </row>
    <row r="260" spans="1:41">
      <c r="A260" s="115"/>
      <c r="B260" s="116"/>
      <c r="C260" s="117"/>
      <c r="D260" s="116"/>
      <c r="E260" s="101"/>
      <c r="F260" s="101"/>
      <c r="G260" s="101"/>
      <c r="H260" s="101"/>
      <c r="I260" s="101"/>
      <c r="J260" s="101"/>
      <c r="K260" s="101"/>
      <c r="L260" s="101"/>
      <c r="M260" s="101"/>
      <c r="N260" s="101"/>
      <c r="O260" s="101"/>
      <c r="P260" s="101"/>
      <c r="Q260" s="101"/>
      <c r="R260" s="101"/>
      <c r="S260" s="101"/>
      <c r="T260" s="101"/>
      <c r="U260" s="101"/>
      <c r="V260" s="101"/>
      <c r="W260" s="101"/>
      <c r="X260" s="101"/>
      <c r="Y260" s="101"/>
      <c r="Z260" s="101"/>
      <c r="AA260" s="101"/>
      <c r="AB260" s="101"/>
      <c r="AC260" s="101"/>
      <c r="AD260" s="101"/>
      <c r="AE260" s="101"/>
      <c r="AF260" s="101"/>
      <c r="AG260" s="101"/>
      <c r="AH260" s="101"/>
      <c r="AI260" s="101"/>
      <c r="AJ260" s="101"/>
      <c r="AK260" s="101"/>
      <c r="AL260" s="101"/>
      <c r="AM260" s="101"/>
      <c r="AN260" s="101"/>
      <c r="AO260" s="101"/>
    </row>
    <row r="261" spans="1:41">
      <c r="A261" s="115"/>
      <c r="B261" s="116"/>
      <c r="C261" s="117"/>
      <c r="D261" s="116"/>
      <c r="E261" s="101"/>
      <c r="F261" s="101"/>
      <c r="G261" s="101"/>
      <c r="H261" s="101"/>
      <c r="I261" s="101"/>
      <c r="J261" s="101"/>
      <c r="K261" s="101"/>
      <c r="L261" s="101"/>
      <c r="M261" s="101"/>
      <c r="N261" s="101"/>
      <c r="O261" s="101"/>
      <c r="P261" s="101"/>
      <c r="Q261" s="101"/>
      <c r="R261" s="101"/>
      <c r="S261" s="101"/>
      <c r="T261" s="101"/>
      <c r="U261" s="101"/>
      <c r="V261" s="101"/>
      <c r="W261" s="101"/>
      <c r="X261" s="101"/>
      <c r="Y261" s="101"/>
      <c r="Z261" s="101"/>
      <c r="AA261" s="101"/>
      <c r="AB261" s="101"/>
      <c r="AC261" s="101"/>
      <c r="AD261" s="101"/>
      <c r="AE261" s="101"/>
      <c r="AF261" s="101"/>
      <c r="AG261" s="101"/>
      <c r="AH261" s="101"/>
      <c r="AI261" s="101"/>
      <c r="AJ261" s="101"/>
      <c r="AK261" s="101"/>
      <c r="AL261" s="101"/>
      <c r="AM261" s="101"/>
      <c r="AN261" s="101"/>
      <c r="AO261" s="101"/>
    </row>
    <row r="262" spans="1:41">
      <c r="A262" s="115"/>
      <c r="B262" s="116"/>
      <c r="C262" s="117"/>
      <c r="D262" s="116"/>
      <c r="E262" s="101"/>
      <c r="F262" s="101"/>
      <c r="G262" s="101"/>
      <c r="H262" s="101"/>
      <c r="I262" s="101"/>
      <c r="J262" s="101"/>
      <c r="K262" s="101"/>
      <c r="L262" s="101"/>
      <c r="M262" s="101"/>
      <c r="N262" s="101"/>
      <c r="O262" s="101"/>
      <c r="P262" s="101"/>
      <c r="Q262" s="101"/>
      <c r="R262" s="101"/>
      <c r="S262" s="101"/>
      <c r="T262" s="101"/>
      <c r="U262" s="101"/>
      <c r="V262" s="101"/>
      <c r="W262" s="101"/>
      <c r="X262" s="101"/>
      <c r="Y262" s="101"/>
      <c r="Z262" s="101"/>
      <c r="AA262" s="101"/>
      <c r="AB262" s="101"/>
      <c r="AC262" s="101"/>
      <c r="AD262" s="101"/>
      <c r="AE262" s="101"/>
      <c r="AF262" s="101"/>
      <c r="AG262" s="101"/>
      <c r="AH262" s="101"/>
      <c r="AI262" s="101"/>
      <c r="AJ262" s="101"/>
      <c r="AK262" s="101"/>
      <c r="AL262" s="101"/>
      <c r="AM262" s="101"/>
      <c r="AN262" s="101"/>
      <c r="AO262" s="101"/>
    </row>
    <row r="263" spans="1:41">
      <c r="A263" s="115"/>
      <c r="B263" s="116"/>
      <c r="C263" s="117"/>
      <c r="D263" s="116"/>
      <c r="E263" s="101"/>
      <c r="F263" s="101"/>
      <c r="G263" s="101"/>
      <c r="H263" s="101"/>
      <c r="I263" s="101"/>
      <c r="J263" s="101"/>
      <c r="K263" s="101"/>
      <c r="L263" s="101"/>
      <c r="M263" s="101"/>
      <c r="N263" s="101"/>
      <c r="O263" s="101"/>
      <c r="P263" s="101"/>
      <c r="Q263" s="101"/>
      <c r="R263" s="101"/>
      <c r="S263" s="101"/>
      <c r="T263" s="101"/>
      <c r="U263" s="101"/>
      <c r="V263" s="101"/>
      <c r="W263" s="101"/>
      <c r="X263" s="101"/>
      <c r="Y263" s="101"/>
      <c r="Z263" s="101"/>
      <c r="AA263" s="101"/>
      <c r="AB263" s="101"/>
      <c r="AC263" s="101"/>
      <c r="AD263" s="101"/>
      <c r="AE263" s="101"/>
      <c r="AF263" s="101"/>
      <c r="AG263" s="101"/>
      <c r="AH263" s="101"/>
      <c r="AI263" s="101"/>
      <c r="AJ263" s="101"/>
      <c r="AK263" s="101"/>
      <c r="AL263" s="101"/>
      <c r="AM263" s="101"/>
      <c r="AN263" s="101"/>
      <c r="AO263" s="101"/>
    </row>
    <row r="264" spans="1:41">
      <c r="A264" s="115"/>
      <c r="B264" s="116"/>
      <c r="C264" s="117"/>
      <c r="D264" s="116"/>
      <c r="E264" s="101"/>
      <c r="F264" s="101"/>
      <c r="G264" s="101"/>
      <c r="H264" s="101"/>
      <c r="I264" s="101"/>
      <c r="J264" s="101"/>
      <c r="K264" s="101"/>
      <c r="L264" s="101"/>
      <c r="M264" s="101"/>
      <c r="N264" s="101"/>
      <c r="O264" s="101"/>
      <c r="P264" s="101"/>
      <c r="Q264" s="101"/>
      <c r="R264" s="101"/>
      <c r="S264" s="101"/>
      <c r="T264" s="101"/>
      <c r="U264" s="101"/>
      <c r="V264" s="101"/>
      <c r="W264" s="101"/>
      <c r="X264" s="101"/>
      <c r="Y264" s="101"/>
      <c r="Z264" s="101"/>
      <c r="AA264" s="101"/>
      <c r="AB264" s="101"/>
      <c r="AC264" s="101"/>
      <c r="AD264" s="101"/>
      <c r="AE264" s="101"/>
      <c r="AF264" s="101"/>
      <c r="AG264" s="101"/>
      <c r="AH264" s="101"/>
      <c r="AI264" s="101"/>
      <c r="AJ264" s="101"/>
      <c r="AK264" s="101"/>
      <c r="AL264" s="101"/>
      <c r="AM264" s="101"/>
      <c r="AN264" s="101"/>
      <c r="AO264" s="101"/>
    </row>
    <row r="265" spans="1:41">
      <c r="A265" s="115"/>
      <c r="B265" s="116"/>
      <c r="C265" s="117"/>
      <c r="D265" s="116"/>
      <c r="E265" s="101"/>
      <c r="F265" s="101"/>
      <c r="G265" s="101"/>
      <c r="H265" s="101"/>
      <c r="I265" s="101"/>
      <c r="J265" s="101"/>
      <c r="K265" s="101"/>
      <c r="L265" s="101"/>
      <c r="M265" s="101"/>
      <c r="N265" s="101"/>
      <c r="O265" s="101"/>
      <c r="P265" s="101"/>
      <c r="Q265" s="101"/>
      <c r="R265" s="101"/>
      <c r="S265" s="101"/>
      <c r="T265" s="101"/>
      <c r="U265" s="101"/>
      <c r="V265" s="101"/>
      <c r="W265" s="101"/>
      <c r="X265" s="101"/>
      <c r="Y265" s="101"/>
      <c r="Z265" s="101"/>
      <c r="AA265" s="101"/>
      <c r="AB265" s="101"/>
      <c r="AC265" s="101"/>
      <c r="AD265" s="101"/>
      <c r="AE265" s="101"/>
      <c r="AF265" s="101"/>
      <c r="AG265" s="101"/>
      <c r="AH265" s="101"/>
      <c r="AI265" s="101"/>
      <c r="AJ265" s="101"/>
      <c r="AK265" s="101"/>
      <c r="AL265" s="101"/>
      <c r="AM265" s="101"/>
      <c r="AN265" s="101"/>
      <c r="AO265" s="101"/>
    </row>
    <row r="266" spans="1:41">
      <c r="A266" s="115"/>
      <c r="B266" s="116"/>
      <c r="C266" s="117"/>
      <c r="D266" s="116"/>
      <c r="E266" s="101"/>
      <c r="F266" s="101"/>
      <c r="G266" s="101"/>
      <c r="H266" s="101"/>
      <c r="I266" s="101"/>
      <c r="J266" s="101"/>
      <c r="K266" s="101"/>
      <c r="L266" s="101"/>
      <c r="M266" s="101"/>
      <c r="N266" s="101"/>
      <c r="O266" s="101"/>
      <c r="P266" s="101"/>
      <c r="Q266" s="101"/>
      <c r="R266" s="101"/>
      <c r="S266" s="101"/>
      <c r="T266" s="101"/>
      <c r="U266" s="101"/>
      <c r="V266" s="101"/>
      <c r="W266" s="101"/>
      <c r="X266" s="101"/>
      <c r="Y266" s="101"/>
      <c r="Z266" s="101"/>
      <c r="AA266" s="101"/>
      <c r="AB266" s="101"/>
      <c r="AC266" s="101"/>
      <c r="AD266" s="101"/>
      <c r="AE266" s="101"/>
      <c r="AF266" s="101"/>
      <c r="AG266" s="101"/>
      <c r="AH266" s="101"/>
      <c r="AI266" s="101"/>
      <c r="AJ266" s="101"/>
      <c r="AK266" s="101"/>
      <c r="AL266" s="101"/>
      <c r="AM266" s="101"/>
      <c r="AN266" s="101"/>
      <c r="AO266" s="101"/>
    </row>
    <row r="267" spans="1:41">
      <c r="A267" s="115"/>
      <c r="B267" s="116"/>
      <c r="C267" s="117"/>
      <c r="D267" s="116"/>
      <c r="E267" s="101"/>
      <c r="F267" s="101"/>
      <c r="G267" s="101"/>
      <c r="H267" s="101"/>
      <c r="I267" s="101"/>
      <c r="J267" s="101"/>
      <c r="K267" s="101"/>
      <c r="L267" s="101"/>
      <c r="M267" s="101"/>
      <c r="N267" s="101"/>
      <c r="O267" s="101"/>
      <c r="P267" s="101"/>
      <c r="Q267" s="101"/>
      <c r="R267" s="101"/>
      <c r="S267" s="101"/>
      <c r="T267" s="101"/>
      <c r="U267" s="101"/>
      <c r="V267" s="101"/>
      <c r="W267" s="101"/>
      <c r="X267" s="101"/>
      <c r="Y267" s="101"/>
      <c r="Z267" s="101"/>
      <c r="AA267" s="101"/>
      <c r="AB267" s="101"/>
      <c r="AC267" s="101"/>
      <c r="AD267" s="101"/>
      <c r="AE267" s="101"/>
      <c r="AF267" s="101"/>
      <c r="AG267" s="101"/>
      <c r="AH267" s="101"/>
      <c r="AI267" s="101"/>
      <c r="AJ267" s="101"/>
      <c r="AK267" s="101"/>
      <c r="AL267" s="101"/>
      <c r="AM267" s="101"/>
      <c r="AN267" s="101"/>
      <c r="AO267" s="101"/>
    </row>
    <row r="268" spans="1:41">
      <c r="A268" s="115"/>
      <c r="B268" s="116"/>
      <c r="C268" s="117"/>
      <c r="D268" s="116"/>
      <c r="E268" s="101"/>
      <c r="F268" s="101"/>
      <c r="G268" s="101"/>
      <c r="H268" s="101"/>
      <c r="I268" s="101"/>
      <c r="J268" s="101"/>
      <c r="K268" s="101"/>
      <c r="L268" s="101"/>
      <c r="M268" s="101"/>
      <c r="N268" s="101"/>
      <c r="O268" s="101"/>
      <c r="P268" s="101"/>
      <c r="Q268" s="101"/>
      <c r="R268" s="101"/>
      <c r="S268" s="101"/>
      <c r="T268" s="101"/>
      <c r="U268" s="101"/>
      <c r="V268" s="101"/>
      <c r="W268" s="101"/>
      <c r="X268" s="101"/>
      <c r="Y268" s="101"/>
      <c r="Z268" s="101"/>
      <c r="AA268" s="101"/>
      <c r="AB268" s="101"/>
      <c r="AC268" s="101"/>
      <c r="AD268" s="101"/>
      <c r="AE268" s="101"/>
      <c r="AF268" s="101"/>
      <c r="AG268" s="101"/>
      <c r="AH268" s="101"/>
      <c r="AI268" s="101"/>
      <c r="AJ268" s="101"/>
      <c r="AK268" s="101"/>
      <c r="AL268" s="101"/>
      <c r="AM268" s="101"/>
      <c r="AN268" s="101"/>
      <c r="AO268" s="101"/>
    </row>
    <row r="269" spans="1:41">
      <c r="A269" s="115"/>
      <c r="B269" s="116"/>
      <c r="C269" s="117"/>
      <c r="D269" s="116"/>
      <c r="E269" s="101"/>
      <c r="F269" s="101"/>
      <c r="G269" s="101"/>
      <c r="H269" s="101"/>
      <c r="I269" s="101"/>
      <c r="J269" s="101"/>
      <c r="K269" s="101"/>
      <c r="L269" s="101"/>
      <c r="M269" s="101"/>
      <c r="N269" s="101"/>
      <c r="O269" s="101"/>
      <c r="P269" s="101"/>
      <c r="Q269" s="101"/>
      <c r="R269" s="101"/>
      <c r="S269" s="101"/>
      <c r="T269" s="101"/>
      <c r="U269" s="101"/>
      <c r="V269" s="101"/>
      <c r="W269" s="101"/>
      <c r="X269" s="101"/>
      <c r="Y269" s="101"/>
      <c r="Z269" s="101"/>
      <c r="AA269" s="101"/>
      <c r="AB269" s="101"/>
      <c r="AC269" s="101"/>
      <c r="AD269" s="101"/>
      <c r="AE269" s="101"/>
      <c r="AF269" s="101"/>
      <c r="AG269" s="101"/>
      <c r="AH269" s="101"/>
      <c r="AI269" s="101"/>
      <c r="AJ269" s="101"/>
      <c r="AK269" s="101"/>
      <c r="AL269" s="101"/>
      <c r="AM269" s="101"/>
      <c r="AN269" s="101"/>
      <c r="AO269" s="101"/>
    </row>
    <row r="270" spans="1:41">
      <c r="A270" s="115"/>
      <c r="B270" s="116"/>
      <c r="C270" s="117"/>
      <c r="D270" s="116"/>
      <c r="E270" s="101"/>
      <c r="F270" s="101"/>
      <c r="G270" s="101"/>
      <c r="H270" s="101"/>
      <c r="I270" s="101"/>
      <c r="J270" s="101"/>
      <c r="K270" s="101"/>
      <c r="L270" s="101"/>
      <c r="M270" s="101"/>
      <c r="N270" s="101"/>
      <c r="O270" s="101"/>
      <c r="P270" s="101"/>
      <c r="Q270" s="101"/>
      <c r="R270" s="101"/>
      <c r="S270" s="101"/>
      <c r="T270" s="101"/>
      <c r="U270" s="101"/>
      <c r="V270" s="101"/>
      <c r="W270" s="101"/>
      <c r="X270" s="101"/>
      <c r="Y270" s="101"/>
      <c r="Z270" s="101"/>
      <c r="AA270" s="101"/>
      <c r="AB270" s="101"/>
      <c r="AC270" s="101"/>
      <c r="AD270" s="101"/>
      <c r="AE270" s="101"/>
      <c r="AF270" s="101"/>
      <c r="AG270" s="101"/>
      <c r="AH270" s="101"/>
      <c r="AI270" s="101"/>
      <c r="AJ270" s="101"/>
      <c r="AK270" s="101"/>
      <c r="AL270" s="101"/>
      <c r="AM270" s="101"/>
      <c r="AN270" s="101"/>
      <c r="AO270" s="101"/>
    </row>
    <row r="271" spans="1:41">
      <c r="A271" s="115"/>
      <c r="B271" s="116"/>
      <c r="C271" s="117"/>
      <c r="D271" s="116"/>
      <c r="E271" s="101"/>
      <c r="F271" s="101"/>
      <c r="G271" s="101"/>
      <c r="H271" s="101"/>
      <c r="I271" s="101"/>
      <c r="J271" s="101"/>
      <c r="K271" s="101"/>
      <c r="L271" s="101"/>
      <c r="M271" s="101"/>
      <c r="N271" s="101"/>
      <c r="O271" s="101"/>
      <c r="P271" s="101"/>
      <c r="Q271" s="101"/>
      <c r="R271" s="101"/>
      <c r="S271" s="101"/>
      <c r="T271" s="101"/>
      <c r="U271" s="101"/>
      <c r="V271" s="101"/>
      <c r="W271" s="101"/>
      <c r="X271" s="101"/>
      <c r="Y271" s="101"/>
      <c r="Z271" s="101"/>
      <c r="AA271" s="101"/>
      <c r="AB271" s="101"/>
      <c r="AC271" s="101"/>
      <c r="AD271" s="101"/>
      <c r="AE271" s="101"/>
      <c r="AF271" s="101"/>
      <c r="AG271" s="101"/>
      <c r="AH271" s="101"/>
      <c r="AI271" s="101"/>
      <c r="AJ271" s="101"/>
      <c r="AK271" s="101"/>
      <c r="AL271" s="101"/>
      <c r="AM271" s="101"/>
      <c r="AN271" s="101"/>
      <c r="AO271" s="101"/>
    </row>
    <row r="272" spans="1:41">
      <c r="A272" s="115"/>
      <c r="B272" s="116"/>
      <c r="C272" s="117"/>
      <c r="D272" s="116"/>
      <c r="E272" s="101"/>
      <c r="F272" s="101"/>
      <c r="G272" s="101"/>
      <c r="H272" s="101"/>
      <c r="I272" s="101"/>
      <c r="J272" s="101"/>
      <c r="K272" s="101"/>
      <c r="L272" s="101"/>
      <c r="M272" s="101"/>
      <c r="N272" s="101"/>
      <c r="O272" s="101"/>
      <c r="P272" s="101"/>
      <c r="Q272" s="101"/>
      <c r="R272" s="101"/>
      <c r="S272" s="101"/>
      <c r="T272" s="101"/>
      <c r="U272" s="101"/>
      <c r="V272" s="101"/>
      <c r="W272" s="101"/>
      <c r="X272" s="101"/>
      <c r="Y272" s="101"/>
      <c r="Z272" s="101"/>
      <c r="AA272" s="101"/>
      <c r="AB272" s="101"/>
      <c r="AC272" s="101"/>
      <c r="AD272" s="101"/>
      <c r="AE272" s="101"/>
      <c r="AF272" s="101"/>
      <c r="AG272" s="101"/>
      <c r="AH272" s="101"/>
      <c r="AI272" s="101"/>
      <c r="AJ272" s="101"/>
      <c r="AK272" s="101"/>
      <c r="AL272" s="101"/>
      <c r="AM272" s="101"/>
      <c r="AN272" s="101"/>
      <c r="AO272" s="101"/>
    </row>
    <row r="273" spans="1:41">
      <c r="A273" s="115"/>
      <c r="B273" s="116"/>
      <c r="C273" s="117"/>
      <c r="D273" s="116"/>
      <c r="E273" s="101"/>
      <c r="F273" s="101"/>
      <c r="G273" s="101"/>
      <c r="H273" s="101"/>
      <c r="I273" s="101"/>
      <c r="J273" s="101"/>
      <c r="K273" s="101"/>
      <c r="L273" s="101"/>
      <c r="M273" s="101"/>
      <c r="N273" s="101"/>
      <c r="O273" s="101"/>
      <c r="P273" s="101"/>
      <c r="Q273" s="101"/>
      <c r="R273" s="101"/>
      <c r="S273" s="101"/>
      <c r="T273" s="101"/>
      <c r="U273" s="101"/>
      <c r="V273" s="101"/>
      <c r="W273" s="101"/>
      <c r="X273" s="101"/>
      <c r="Y273" s="101"/>
      <c r="Z273" s="101"/>
      <c r="AA273" s="101"/>
      <c r="AB273" s="101"/>
      <c r="AC273" s="101"/>
      <c r="AD273" s="101"/>
      <c r="AE273" s="101"/>
      <c r="AF273" s="101"/>
      <c r="AG273" s="101"/>
      <c r="AH273" s="101"/>
      <c r="AI273" s="101"/>
      <c r="AJ273" s="101"/>
      <c r="AK273" s="101"/>
      <c r="AL273" s="101"/>
      <c r="AM273" s="101"/>
      <c r="AN273" s="101"/>
      <c r="AO273" s="101"/>
    </row>
    <row r="274" spans="1:41">
      <c r="A274" s="115"/>
      <c r="B274" s="116"/>
      <c r="C274" s="117"/>
      <c r="D274" s="116"/>
      <c r="E274" s="101"/>
      <c r="F274" s="101"/>
      <c r="G274" s="101"/>
      <c r="H274" s="101"/>
      <c r="I274" s="101"/>
      <c r="J274" s="101"/>
      <c r="K274" s="101"/>
      <c r="L274" s="101"/>
      <c r="M274" s="101"/>
      <c r="N274" s="101"/>
      <c r="O274" s="101"/>
      <c r="P274" s="101"/>
      <c r="Q274" s="101"/>
      <c r="R274" s="101"/>
      <c r="S274" s="101"/>
      <c r="T274" s="101"/>
      <c r="U274" s="101"/>
      <c r="V274" s="101"/>
      <c r="W274" s="101"/>
      <c r="X274" s="101"/>
      <c r="Y274" s="101"/>
      <c r="Z274" s="101"/>
      <c r="AA274" s="101"/>
      <c r="AB274" s="101"/>
      <c r="AC274" s="101"/>
      <c r="AD274" s="101"/>
      <c r="AE274" s="101"/>
      <c r="AF274" s="101"/>
      <c r="AG274" s="101"/>
      <c r="AH274" s="101"/>
      <c r="AI274" s="101"/>
      <c r="AJ274" s="101"/>
      <c r="AK274" s="101"/>
      <c r="AL274" s="101"/>
      <c r="AM274" s="101"/>
      <c r="AN274" s="101"/>
      <c r="AO274" s="101"/>
    </row>
    <row r="275" spans="1:41">
      <c r="A275" s="115"/>
      <c r="B275" s="116"/>
      <c r="C275" s="117"/>
      <c r="D275" s="116"/>
      <c r="E275" s="101"/>
      <c r="F275" s="101"/>
      <c r="G275" s="101"/>
      <c r="H275" s="101"/>
      <c r="I275" s="101"/>
      <c r="J275" s="101"/>
      <c r="K275" s="101"/>
      <c r="L275" s="101"/>
      <c r="M275" s="101"/>
      <c r="N275" s="101"/>
      <c r="O275" s="101"/>
      <c r="P275" s="101"/>
      <c r="Q275" s="101"/>
      <c r="R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row>
    <row r="276" spans="1:41">
      <c r="A276" s="115"/>
      <c r="B276" s="116"/>
      <c r="C276" s="117"/>
      <c r="D276" s="116"/>
      <c r="E276" s="101"/>
      <c r="F276" s="101"/>
      <c r="G276" s="101"/>
      <c r="H276" s="101"/>
      <c r="I276" s="101"/>
      <c r="J276" s="101"/>
      <c r="K276" s="101"/>
      <c r="L276" s="101"/>
      <c r="M276" s="101"/>
      <c r="N276" s="101"/>
      <c r="O276" s="101"/>
      <c r="P276" s="101"/>
      <c r="Q276" s="101"/>
      <c r="R276" s="101"/>
      <c r="S276" s="101"/>
      <c r="T276" s="101"/>
      <c r="U276" s="101"/>
      <c r="V276" s="101"/>
      <c r="W276" s="101"/>
      <c r="X276" s="101"/>
      <c r="Y276" s="101"/>
      <c r="Z276" s="101"/>
      <c r="AA276" s="101"/>
      <c r="AB276" s="101"/>
      <c r="AC276" s="101"/>
      <c r="AD276" s="101"/>
      <c r="AE276" s="101"/>
      <c r="AF276" s="101"/>
      <c r="AG276" s="101"/>
      <c r="AH276" s="101"/>
      <c r="AI276" s="101"/>
      <c r="AJ276" s="101"/>
      <c r="AK276" s="101"/>
      <c r="AL276" s="101"/>
      <c r="AM276" s="101"/>
      <c r="AN276" s="101"/>
      <c r="AO276" s="101"/>
    </row>
    <row r="277" spans="1:41">
      <c r="A277" s="115"/>
      <c r="B277" s="116"/>
      <c r="C277" s="117"/>
      <c r="D277" s="116"/>
      <c r="E277" s="101"/>
      <c r="F277" s="101"/>
      <c r="G277" s="101"/>
      <c r="H277" s="101"/>
      <c r="I277" s="101"/>
      <c r="J277" s="101"/>
      <c r="K277" s="101"/>
      <c r="L277" s="101"/>
      <c r="M277" s="101"/>
      <c r="N277" s="101"/>
      <c r="O277" s="101"/>
      <c r="P277" s="101"/>
      <c r="Q277" s="101"/>
      <c r="R277" s="101"/>
      <c r="S277" s="101"/>
      <c r="T277" s="101"/>
      <c r="U277" s="101"/>
      <c r="V277" s="101"/>
      <c r="W277" s="101"/>
      <c r="X277" s="101"/>
      <c r="Y277" s="101"/>
      <c r="Z277" s="101"/>
      <c r="AA277" s="101"/>
      <c r="AB277" s="101"/>
      <c r="AC277" s="101"/>
      <c r="AD277" s="101"/>
      <c r="AE277" s="101"/>
      <c r="AF277" s="101"/>
      <c r="AG277" s="101"/>
      <c r="AH277" s="101"/>
      <c r="AI277" s="101"/>
      <c r="AJ277" s="101"/>
      <c r="AK277" s="101"/>
      <c r="AL277" s="101"/>
      <c r="AM277" s="101"/>
      <c r="AN277" s="101"/>
      <c r="AO277" s="101"/>
    </row>
    <row r="278" spans="1:41">
      <c r="A278" s="115"/>
      <c r="B278" s="116"/>
      <c r="C278" s="117"/>
      <c r="D278" s="116"/>
      <c r="E278" s="101"/>
      <c r="F278" s="101"/>
      <c r="G278" s="101"/>
      <c r="H278" s="101"/>
      <c r="I278" s="101"/>
      <c r="J278" s="101"/>
      <c r="K278" s="101"/>
      <c r="L278" s="101"/>
      <c r="M278" s="101"/>
      <c r="N278" s="101"/>
      <c r="O278" s="101"/>
      <c r="P278" s="101"/>
      <c r="Q278" s="101"/>
      <c r="R278" s="101"/>
      <c r="S278" s="101"/>
      <c r="T278" s="101"/>
      <c r="U278" s="101"/>
      <c r="V278" s="101"/>
      <c r="W278" s="101"/>
      <c r="X278" s="101"/>
      <c r="Y278" s="101"/>
      <c r="Z278" s="101"/>
      <c r="AA278" s="101"/>
      <c r="AB278" s="101"/>
      <c r="AC278" s="101"/>
      <c r="AD278" s="101"/>
      <c r="AE278" s="101"/>
      <c r="AF278" s="101"/>
      <c r="AG278" s="101"/>
      <c r="AH278" s="101"/>
      <c r="AI278" s="101"/>
      <c r="AJ278" s="101"/>
      <c r="AK278" s="101"/>
      <c r="AL278" s="101"/>
      <c r="AM278" s="101"/>
      <c r="AN278" s="101"/>
      <c r="AO278" s="101"/>
    </row>
    <row r="279" spans="1:41">
      <c r="A279" s="115"/>
      <c r="B279" s="116"/>
      <c r="C279" s="117"/>
      <c r="D279" s="116"/>
      <c r="E279" s="101"/>
      <c r="F279" s="101"/>
      <c r="G279" s="101"/>
      <c r="H279" s="101"/>
      <c r="I279" s="101"/>
      <c r="J279" s="101"/>
      <c r="K279" s="101"/>
      <c r="L279" s="101"/>
      <c r="M279" s="101"/>
      <c r="N279" s="101"/>
      <c r="O279" s="101"/>
      <c r="P279" s="101"/>
      <c r="Q279" s="101"/>
      <c r="R279" s="101"/>
      <c r="S279" s="101"/>
      <c r="T279" s="101"/>
      <c r="U279" s="101"/>
      <c r="V279" s="101"/>
      <c r="W279" s="101"/>
      <c r="X279" s="101"/>
      <c r="Y279" s="101"/>
      <c r="Z279" s="101"/>
      <c r="AA279" s="101"/>
      <c r="AB279" s="101"/>
      <c r="AC279" s="101"/>
      <c r="AD279" s="101"/>
      <c r="AE279" s="101"/>
      <c r="AF279" s="101"/>
      <c r="AG279" s="101"/>
      <c r="AH279" s="101"/>
      <c r="AI279" s="101"/>
      <c r="AJ279" s="101"/>
      <c r="AK279" s="101"/>
      <c r="AL279" s="101"/>
      <c r="AM279" s="101"/>
      <c r="AN279" s="101"/>
      <c r="AO279" s="101"/>
    </row>
    <row r="280" spans="1:41">
      <c r="A280" s="115"/>
      <c r="B280" s="116"/>
      <c r="C280" s="117"/>
      <c r="D280" s="116"/>
      <c r="E280" s="101"/>
      <c r="F280" s="101"/>
      <c r="G280" s="101"/>
      <c r="H280" s="101"/>
      <c r="I280" s="101"/>
      <c r="J280" s="101"/>
      <c r="K280" s="101"/>
      <c r="L280" s="101"/>
      <c r="M280" s="101"/>
      <c r="N280" s="101"/>
      <c r="O280" s="101"/>
      <c r="P280" s="101"/>
      <c r="Q280" s="101"/>
      <c r="R280" s="101"/>
      <c r="S280" s="101"/>
      <c r="T280" s="101"/>
      <c r="U280" s="101"/>
      <c r="V280" s="101"/>
      <c r="W280" s="101"/>
      <c r="X280" s="101"/>
      <c r="Y280" s="101"/>
      <c r="Z280" s="101"/>
      <c r="AA280" s="101"/>
      <c r="AB280" s="101"/>
      <c r="AC280" s="101"/>
      <c r="AD280" s="101"/>
      <c r="AE280" s="101"/>
      <c r="AF280" s="101"/>
      <c r="AG280" s="101"/>
      <c r="AH280" s="101"/>
      <c r="AI280" s="101"/>
      <c r="AJ280" s="101"/>
      <c r="AK280" s="101"/>
      <c r="AL280" s="101"/>
      <c r="AM280" s="101"/>
      <c r="AN280" s="101"/>
      <c r="AO280" s="101"/>
    </row>
    <row r="281" spans="1:41">
      <c r="A281" s="115"/>
      <c r="B281" s="116"/>
      <c r="C281" s="117"/>
      <c r="D281" s="116"/>
      <c r="E281" s="101"/>
      <c r="F281" s="101"/>
      <c r="G281" s="101"/>
      <c r="H281" s="101"/>
      <c r="I281" s="101"/>
      <c r="J281" s="101"/>
      <c r="K281" s="101"/>
      <c r="L281" s="101"/>
      <c r="M281" s="101"/>
      <c r="N281" s="101"/>
      <c r="O281" s="101"/>
      <c r="P281" s="101"/>
      <c r="Q281" s="101"/>
      <c r="R281" s="101"/>
      <c r="S281" s="101"/>
      <c r="T281" s="101"/>
      <c r="U281" s="101"/>
      <c r="V281" s="101"/>
      <c r="W281" s="101"/>
      <c r="X281" s="101"/>
      <c r="Y281" s="101"/>
      <c r="Z281" s="101"/>
      <c r="AA281" s="101"/>
      <c r="AB281" s="101"/>
      <c r="AC281" s="101"/>
      <c r="AD281" s="101"/>
      <c r="AE281" s="101"/>
      <c r="AF281" s="101"/>
      <c r="AG281" s="101"/>
      <c r="AH281" s="101"/>
      <c r="AI281" s="101"/>
      <c r="AJ281" s="101"/>
      <c r="AK281" s="101"/>
      <c r="AL281" s="101"/>
      <c r="AM281" s="101"/>
      <c r="AN281" s="101"/>
      <c r="AO281" s="101"/>
    </row>
    <row r="282" spans="1:41">
      <c r="A282" s="115"/>
      <c r="B282" s="116"/>
      <c r="C282" s="117"/>
      <c r="D282" s="116"/>
      <c r="E282" s="101"/>
      <c r="F282" s="101"/>
      <c r="G282" s="101"/>
      <c r="H282" s="101"/>
      <c r="I282" s="101"/>
      <c r="J282" s="101"/>
      <c r="K282" s="101"/>
      <c r="L282" s="101"/>
      <c r="M282" s="101"/>
      <c r="N282" s="101"/>
      <c r="O282" s="101"/>
      <c r="P282" s="101"/>
      <c r="Q282" s="101"/>
      <c r="R282" s="101"/>
      <c r="S282" s="101"/>
      <c r="T282" s="101"/>
      <c r="U282" s="101"/>
      <c r="V282" s="101"/>
      <c r="W282" s="101"/>
      <c r="X282" s="101"/>
      <c r="Y282" s="101"/>
      <c r="Z282" s="101"/>
      <c r="AA282" s="101"/>
      <c r="AB282" s="101"/>
      <c r="AC282" s="101"/>
      <c r="AD282" s="101"/>
      <c r="AE282" s="101"/>
      <c r="AF282" s="101"/>
      <c r="AG282" s="101"/>
      <c r="AH282" s="101"/>
      <c r="AI282" s="101"/>
      <c r="AJ282" s="101"/>
      <c r="AK282" s="101"/>
      <c r="AL282" s="101"/>
      <c r="AM282" s="101"/>
      <c r="AN282" s="101"/>
      <c r="AO282" s="101"/>
    </row>
    <row r="283" spans="1:41">
      <c r="A283" s="115"/>
      <c r="B283" s="116"/>
      <c r="C283" s="117"/>
      <c r="D283" s="116"/>
      <c r="E283" s="101"/>
      <c r="F283" s="101"/>
      <c r="G283" s="101"/>
      <c r="H283" s="101"/>
      <c r="I283" s="101"/>
      <c r="J283" s="101"/>
      <c r="K283" s="101"/>
      <c r="L283" s="101"/>
      <c r="M283" s="101"/>
      <c r="N283" s="101"/>
      <c r="O283" s="101"/>
      <c r="P283" s="101"/>
      <c r="Q283" s="101"/>
      <c r="R283" s="101"/>
      <c r="S283" s="101"/>
      <c r="T283" s="101"/>
      <c r="U283" s="101"/>
      <c r="V283" s="101"/>
      <c r="W283" s="101"/>
      <c r="X283" s="101"/>
      <c r="Y283" s="101"/>
      <c r="Z283" s="101"/>
      <c r="AA283" s="101"/>
      <c r="AB283" s="101"/>
      <c r="AC283" s="101"/>
      <c r="AD283" s="101"/>
      <c r="AE283" s="101"/>
      <c r="AF283" s="101"/>
      <c r="AG283" s="101"/>
      <c r="AH283" s="101"/>
      <c r="AI283" s="101"/>
      <c r="AJ283" s="101"/>
      <c r="AK283" s="101"/>
      <c r="AL283" s="101"/>
      <c r="AM283" s="101"/>
      <c r="AN283" s="101"/>
      <c r="AO283" s="101"/>
    </row>
    <row r="284" spans="1:41">
      <c r="A284" s="115"/>
      <c r="B284" s="116"/>
      <c r="C284" s="117"/>
      <c r="D284" s="116"/>
      <c r="E284" s="101"/>
      <c r="F284" s="101"/>
      <c r="G284" s="101"/>
      <c r="H284" s="101"/>
      <c r="I284" s="101"/>
      <c r="J284" s="101"/>
      <c r="K284" s="101"/>
      <c r="L284" s="101"/>
      <c r="M284" s="101"/>
      <c r="N284" s="101"/>
      <c r="O284" s="101"/>
      <c r="P284" s="101"/>
      <c r="Q284" s="101"/>
      <c r="R284" s="101"/>
      <c r="S284" s="101"/>
      <c r="T284" s="101"/>
      <c r="U284" s="101"/>
      <c r="V284" s="101"/>
      <c r="W284" s="101"/>
      <c r="X284" s="101"/>
      <c r="Y284" s="101"/>
      <c r="Z284" s="101"/>
      <c r="AA284" s="101"/>
      <c r="AB284" s="101"/>
      <c r="AC284" s="101"/>
      <c r="AD284" s="101"/>
      <c r="AE284" s="101"/>
      <c r="AF284" s="101"/>
      <c r="AG284" s="101"/>
      <c r="AH284" s="101"/>
      <c r="AI284" s="101"/>
      <c r="AJ284" s="101"/>
      <c r="AK284" s="101"/>
      <c r="AL284" s="101"/>
      <c r="AM284" s="101"/>
      <c r="AN284" s="101"/>
      <c r="AO284" s="101"/>
    </row>
    <row r="285" spans="1:41">
      <c r="A285" s="115"/>
      <c r="B285" s="116"/>
      <c r="C285" s="117"/>
      <c r="D285" s="116"/>
      <c r="E285" s="101"/>
      <c r="F285" s="101"/>
      <c r="G285" s="101"/>
      <c r="H285" s="101"/>
      <c r="I285" s="101"/>
      <c r="J285" s="101"/>
      <c r="K285" s="101"/>
      <c r="L285" s="101"/>
      <c r="M285" s="101"/>
      <c r="N285" s="101"/>
      <c r="O285" s="101"/>
      <c r="P285" s="101"/>
      <c r="Q285" s="101"/>
      <c r="R285" s="101"/>
      <c r="S285" s="101"/>
      <c r="T285" s="101"/>
      <c r="U285" s="101"/>
      <c r="V285" s="101"/>
      <c r="W285" s="101"/>
      <c r="X285" s="101"/>
      <c r="Y285" s="101"/>
      <c r="Z285" s="101"/>
      <c r="AA285" s="101"/>
      <c r="AB285" s="101"/>
      <c r="AC285" s="101"/>
      <c r="AD285" s="101"/>
      <c r="AE285" s="101"/>
      <c r="AF285" s="101"/>
      <c r="AG285" s="101"/>
      <c r="AH285" s="101"/>
      <c r="AI285" s="101"/>
      <c r="AJ285" s="101"/>
      <c r="AK285" s="101"/>
      <c r="AL285" s="101"/>
      <c r="AM285" s="101"/>
      <c r="AN285" s="101"/>
      <c r="AO285" s="101"/>
    </row>
    <row r="286" spans="1:41">
      <c r="A286" s="115"/>
      <c r="B286" s="116"/>
      <c r="C286" s="117"/>
      <c r="D286" s="116"/>
      <c r="E286" s="101"/>
      <c r="F286" s="101"/>
      <c r="G286" s="101"/>
      <c r="H286" s="101"/>
      <c r="I286" s="101"/>
      <c r="J286" s="101"/>
      <c r="K286" s="101"/>
      <c r="L286" s="101"/>
      <c r="M286" s="101"/>
      <c r="N286" s="101"/>
      <c r="O286" s="101"/>
      <c r="P286" s="101"/>
      <c r="Q286" s="101"/>
      <c r="R286" s="101"/>
      <c r="S286" s="101"/>
      <c r="T286" s="101"/>
      <c r="U286" s="101"/>
      <c r="V286" s="101"/>
      <c r="W286" s="101"/>
      <c r="X286" s="101"/>
      <c r="Y286" s="101"/>
      <c r="Z286" s="101"/>
      <c r="AA286" s="101"/>
      <c r="AB286" s="101"/>
      <c r="AC286" s="101"/>
      <c r="AD286" s="101"/>
      <c r="AE286" s="101"/>
      <c r="AF286" s="101"/>
      <c r="AG286" s="101"/>
      <c r="AH286" s="101"/>
      <c r="AI286" s="101"/>
      <c r="AJ286" s="101"/>
      <c r="AK286" s="101"/>
      <c r="AL286" s="101"/>
      <c r="AM286" s="101"/>
      <c r="AN286" s="101"/>
      <c r="AO286" s="101"/>
    </row>
    <row r="287" spans="1:41">
      <c r="A287" s="115"/>
      <c r="B287" s="116"/>
      <c r="C287" s="117"/>
      <c r="D287" s="116"/>
      <c r="E287" s="101"/>
      <c r="F287" s="101"/>
      <c r="G287" s="101"/>
      <c r="H287" s="101"/>
      <c r="I287" s="101"/>
      <c r="J287" s="101"/>
      <c r="K287" s="101"/>
      <c r="L287" s="101"/>
      <c r="M287" s="101"/>
      <c r="N287" s="101"/>
      <c r="O287" s="101"/>
      <c r="P287" s="101"/>
      <c r="Q287" s="101"/>
      <c r="R287" s="101"/>
      <c r="S287" s="101"/>
      <c r="T287" s="101"/>
      <c r="U287" s="101"/>
      <c r="V287" s="101"/>
      <c r="W287" s="101"/>
      <c r="X287" s="101"/>
      <c r="Y287" s="101"/>
      <c r="Z287" s="101"/>
      <c r="AA287" s="101"/>
      <c r="AB287" s="101"/>
      <c r="AC287" s="101"/>
      <c r="AD287" s="101"/>
      <c r="AE287" s="101"/>
      <c r="AF287" s="101"/>
      <c r="AG287" s="101"/>
      <c r="AH287" s="101"/>
      <c r="AI287" s="101"/>
      <c r="AJ287" s="101"/>
      <c r="AK287" s="101"/>
      <c r="AL287" s="101"/>
      <c r="AM287" s="101"/>
      <c r="AN287" s="101"/>
      <c r="AO287" s="101"/>
    </row>
    <row r="288" spans="1:41">
      <c r="A288" s="115"/>
      <c r="B288" s="116"/>
      <c r="C288" s="117"/>
      <c r="D288" s="116"/>
      <c r="E288" s="101"/>
      <c r="F288" s="101"/>
      <c r="G288" s="101"/>
      <c r="H288" s="101"/>
      <c r="I288" s="101"/>
      <c r="J288" s="101"/>
      <c r="K288" s="101"/>
      <c r="L288" s="101"/>
      <c r="M288" s="101"/>
      <c r="N288" s="101"/>
      <c r="O288" s="101"/>
      <c r="P288" s="101"/>
      <c r="Q288" s="101"/>
      <c r="R288" s="101"/>
      <c r="S288" s="101"/>
      <c r="T288" s="101"/>
      <c r="U288" s="101"/>
      <c r="V288" s="101"/>
      <c r="W288" s="101"/>
      <c r="X288" s="101"/>
      <c r="Y288" s="101"/>
      <c r="Z288" s="101"/>
      <c r="AA288" s="101"/>
      <c r="AB288" s="101"/>
      <c r="AC288" s="101"/>
      <c r="AD288" s="101"/>
      <c r="AE288" s="101"/>
      <c r="AF288" s="101"/>
      <c r="AG288" s="101"/>
      <c r="AH288" s="101"/>
      <c r="AI288" s="101"/>
      <c r="AJ288" s="101"/>
      <c r="AK288" s="101"/>
      <c r="AL288" s="101"/>
      <c r="AM288" s="101"/>
      <c r="AN288" s="101"/>
      <c r="AO288" s="101"/>
    </row>
    <row r="289" spans="1:41">
      <c r="A289" s="115"/>
      <c r="B289" s="116"/>
      <c r="C289" s="117"/>
      <c r="D289" s="116"/>
      <c r="E289" s="101"/>
      <c r="F289" s="101"/>
      <c r="G289" s="101"/>
      <c r="H289" s="101"/>
      <c r="I289" s="101"/>
      <c r="J289" s="101"/>
      <c r="K289" s="101"/>
      <c r="L289" s="101"/>
      <c r="M289" s="101"/>
      <c r="N289" s="101"/>
      <c r="O289" s="101"/>
      <c r="P289" s="101"/>
      <c r="Q289" s="101"/>
      <c r="R289" s="101"/>
      <c r="S289" s="101"/>
      <c r="T289" s="101"/>
      <c r="U289" s="101"/>
      <c r="V289" s="101"/>
      <c r="W289" s="101"/>
      <c r="X289" s="101"/>
      <c r="Y289" s="101"/>
      <c r="Z289" s="101"/>
      <c r="AA289" s="101"/>
      <c r="AB289" s="101"/>
      <c r="AC289" s="101"/>
      <c r="AD289" s="101"/>
      <c r="AE289" s="101"/>
      <c r="AF289" s="101"/>
      <c r="AG289" s="101"/>
      <c r="AH289" s="101"/>
      <c r="AI289" s="101"/>
      <c r="AJ289" s="101"/>
      <c r="AK289" s="101"/>
      <c r="AL289" s="101"/>
      <c r="AM289" s="101"/>
      <c r="AN289" s="101"/>
      <c r="AO289" s="101"/>
    </row>
    <row r="290" spans="1:41">
      <c r="A290" s="115"/>
      <c r="B290" s="116"/>
      <c r="C290" s="117"/>
      <c r="D290" s="116"/>
      <c r="E290" s="101"/>
      <c r="F290" s="101"/>
      <c r="G290" s="101"/>
      <c r="H290" s="101"/>
      <c r="I290" s="101"/>
      <c r="J290" s="101"/>
      <c r="K290" s="101"/>
      <c r="L290" s="101"/>
      <c r="M290" s="101"/>
      <c r="N290" s="101"/>
      <c r="O290" s="101"/>
      <c r="P290" s="101"/>
      <c r="Q290" s="101"/>
      <c r="R290" s="101"/>
      <c r="S290" s="101"/>
      <c r="T290" s="101"/>
      <c r="U290" s="101"/>
      <c r="V290" s="101"/>
      <c r="W290" s="101"/>
      <c r="X290" s="101"/>
      <c r="Y290" s="101"/>
      <c r="Z290" s="101"/>
      <c r="AA290" s="101"/>
      <c r="AB290" s="101"/>
      <c r="AC290" s="101"/>
      <c r="AD290" s="101"/>
      <c r="AE290" s="101"/>
      <c r="AF290" s="101"/>
      <c r="AG290" s="101"/>
      <c r="AH290" s="101"/>
      <c r="AI290" s="101"/>
      <c r="AJ290" s="101"/>
      <c r="AK290" s="101"/>
      <c r="AL290" s="101"/>
      <c r="AM290" s="101"/>
      <c r="AN290" s="101"/>
      <c r="AO290" s="101"/>
    </row>
    <row r="291" spans="1:41">
      <c r="A291" s="115"/>
      <c r="B291" s="116"/>
      <c r="C291" s="117"/>
      <c r="D291" s="116"/>
      <c r="E291" s="101"/>
      <c r="F291" s="101"/>
      <c r="G291" s="101"/>
      <c r="H291" s="101"/>
      <c r="I291" s="101"/>
      <c r="J291" s="101"/>
      <c r="K291" s="101"/>
      <c r="L291" s="101"/>
      <c r="M291" s="101"/>
      <c r="N291" s="101"/>
      <c r="O291" s="101"/>
      <c r="P291" s="101"/>
      <c r="Q291" s="101"/>
      <c r="R291" s="101"/>
      <c r="S291" s="101"/>
      <c r="T291" s="101"/>
      <c r="U291" s="101"/>
      <c r="V291" s="101"/>
      <c r="W291" s="101"/>
      <c r="X291" s="101"/>
      <c r="Y291" s="101"/>
      <c r="Z291" s="101"/>
      <c r="AA291" s="101"/>
      <c r="AB291" s="101"/>
      <c r="AC291" s="101"/>
      <c r="AD291" s="101"/>
      <c r="AE291" s="101"/>
      <c r="AF291" s="101"/>
      <c r="AG291" s="101"/>
      <c r="AH291" s="101"/>
      <c r="AI291" s="101"/>
      <c r="AJ291" s="101"/>
      <c r="AK291" s="101"/>
      <c r="AL291" s="101"/>
      <c r="AM291" s="101"/>
      <c r="AN291" s="101"/>
      <c r="AO291" s="101"/>
    </row>
    <row r="292" spans="1:41">
      <c r="A292" s="115"/>
      <c r="B292" s="116"/>
      <c r="C292" s="117"/>
      <c r="D292" s="116"/>
      <c r="E292" s="101"/>
      <c r="F292" s="101"/>
      <c r="G292" s="101"/>
      <c r="H292" s="101"/>
      <c r="I292" s="101"/>
      <c r="J292" s="101"/>
      <c r="K292" s="101"/>
      <c r="L292" s="101"/>
      <c r="M292" s="101"/>
      <c r="N292" s="101"/>
      <c r="O292" s="101"/>
      <c r="P292" s="101"/>
      <c r="Q292" s="101"/>
      <c r="R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row>
    <row r="293" spans="1:41">
      <c r="A293" s="115"/>
      <c r="B293" s="116"/>
      <c r="C293" s="117"/>
      <c r="D293" s="116"/>
      <c r="E293" s="101"/>
      <c r="F293" s="101"/>
      <c r="G293" s="101"/>
      <c r="H293" s="101"/>
      <c r="I293" s="101"/>
      <c r="J293" s="101"/>
      <c r="K293" s="101"/>
      <c r="L293" s="101"/>
      <c r="M293" s="101"/>
      <c r="N293" s="101"/>
      <c r="O293" s="101"/>
      <c r="P293" s="101"/>
      <c r="Q293" s="101"/>
      <c r="R293" s="101"/>
      <c r="S293" s="101"/>
      <c r="T293" s="101"/>
      <c r="U293" s="101"/>
      <c r="V293" s="101"/>
      <c r="W293" s="101"/>
      <c r="X293" s="101"/>
      <c r="Y293" s="101"/>
      <c r="Z293" s="101"/>
      <c r="AA293" s="101"/>
      <c r="AB293" s="101"/>
      <c r="AC293" s="101"/>
      <c r="AD293" s="101"/>
      <c r="AE293" s="101"/>
      <c r="AF293" s="101"/>
      <c r="AG293" s="101"/>
      <c r="AH293" s="101"/>
      <c r="AI293" s="101"/>
      <c r="AJ293" s="101"/>
      <c r="AK293" s="101"/>
      <c r="AL293" s="101"/>
      <c r="AM293" s="101"/>
      <c r="AN293" s="101"/>
      <c r="AO293" s="101"/>
    </row>
    <row r="294" spans="1:41">
      <c r="A294" s="115"/>
      <c r="B294" s="116"/>
      <c r="C294" s="117"/>
      <c r="D294" s="116"/>
      <c r="E294" s="101"/>
      <c r="F294" s="101"/>
      <c r="G294" s="101"/>
      <c r="H294" s="101"/>
      <c r="I294" s="101"/>
      <c r="J294" s="101"/>
      <c r="K294" s="101"/>
      <c r="L294" s="101"/>
      <c r="M294" s="101"/>
      <c r="N294" s="101"/>
      <c r="O294" s="101"/>
      <c r="P294" s="101"/>
      <c r="Q294" s="101"/>
      <c r="R294" s="101"/>
      <c r="S294" s="101"/>
      <c r="T294" s="101"/>
      <c r="U294" s="101"/>
      <c r="V294" s="101"/>
      <c r="W294" s="101"/>
      <c r="X294" s="101"/>
      <c r="Y294" s="101"/>
      <c r="Z294" s="101"/>
      <c r="AA294" s="101"/>
      <c r="AB294" s="101"/>
      <c r="AC294" s="101"/>
      <c r="AD294" s="101"/>
      <c r="AE294" s="101"/>
      <c r="AF294" s="101"/>
      <c r="AG294" s="101"/>
      <c r="AH294" s="101"/>
      <c r="AI294" s="101"/>
      <c r="AJ294" s="101"/>
      <c r="AK294" s="101"/>
      <c r="AL294" s="101"/>
      <c r="AM294" s="101"/>
      <c r="AN294" s="101"/>
      <c r="AO294" s="101"/>
    </row>
    <row r="295" spans="1:41">
      <c r="A295" s="115"/>
      <c r="B295" s="116"/>
      <c r="C295" s="117"/>
      <c r="D295" s="116"/>
      <c r="E295" s="101"/>
      <c r="F295" s="101"/>
      <c r="G295" s="101"/>
      <c r="H295" s="101"/>
      <c r="I295" s="101"/>
      <c r="J295" s="101"/>
      <c r="K295" s="101"/>
      <c r="L295" s="101"/>
      <c r="M295" s="101"/>
      <c r="N295" s="101"/>
      <c r="O295" s="101"/>
      <c r="P295" s="101"/>
      <c r="Q295" s="101"/>
      <c r="R295" s="101"/>
      <c r="S295" s="101"/>
      <c r="T295" s="101"/>
      <c r="U295" s="101"/>
      <c r="V295" s="101"/>
      <c r="W295" s="101"/>
      <c r="X295" s="101"/>
      <c r="Y295" s="101"/>
      <c r="Z295" s="101"/>
      <c r="AA295" s="101"/>
      <c r="AB295" s="101"/>
      <c r="AC295" s="101"/>
      <c r="AD295" s="101"/>
      <c r="AE295" s="101"/>
      <c r="AF295" s="101"/>
      <c r="AG295" s="101"/>
      <c r="AH295" s="101"/>
      <c r="AI295" s="101"/>
      <c r="AJ295" s="101"/>
      <c r="AK295" s="101"/>
      <c r="AL295" s="101"/>
      <c r="AM295" s="101"/>
      <c r="AN295" s="101"/>
      <c r="AO295" s="101"/>
    </row>
    <row r="296" spans="1:41">
      <c r="A296" s="115"/>
      <c r="B296" s="116"/>
      <c r="C296" s="117"/>
      <c r="D296" s="116"/>
      <c r="E296" s="101"/>
      <c r="F296" s="101"/>
      <c r="G296" s="101"/>
      <c r="H296" s="101"/>
      <c r="I296" s="101"/>
      <c r="J296" s="101"/>
      <c r="K296" s="101"/>
      <c r="L296" s="101"/>
      <c r="M296" s="101"/>
      <c r="N296" s="101"/>
      <c r="O296" s="101"/>
      <c r="P296" s="101"/>
      <c r="Q296" s="101"/>
      <c r="R296" s="101"/>
      <c r="S296" s="101"/>
      <c r="T296" s="101"/>
      <c r="U296" s="101"/>
      <c r="V296" s="101"/>
      <c r="W296" s="101"/>
      <c r="X296" s="101"/>
      <c r="Y296" s="101"/>
      <c r="Z296" s="101"/>
      <c r="AA296" s="101"/>
      <c r="AB296" s="101"/>
      <c r="AC296" s="101"/>
      <c r="AD296" s="101"/>
      <c r="AE296" s="101"/>
      <c r="AF296" s="101"/>
      <c r="AG296" s="101"/>
      <c r="AH296" s="101"/>
      <c r="AI296" s="101"/>
      <c r="AJ296" s="101"/>
      <c r="AK296" s="101"/>
      <c r="AL296" s="101"/>
      <c r="AM296" s="101"/>
      <c r="AN296" s="101"/>
      <c r="AO296" s="101"/>
    </row>
    <row r="297" spans="1:41">
      <c r="A297" s="115"/>
      <c r="B297" s="116"/>
      <c r="C297" s="117"/>
      <c r="D297" s="116"/>
      <c r="E297" s="101"/>
      <c r="F297" s="101"/>
      <c r="G297" s="101"/>
      <c r="H297" s="101"/>
      <c r="I297" s="101"/>
      <c r="J297" s="101"/>
      <c r="K297" s="101"/>
      <c r="L297" s="101"/>
      <c r="M297" s="101"/>
      <c r="N297" s="101"/>
      <c r="O297" s="101"/>
      <c r="P297" s="101"/>
      <c r="Q297" s="101"/>
      <c r="R297" s="101"/>
      <c r="S297" s="101"/>
      <c r="T297" s="101"/>
      <c r="U297" s="101"/>
      <c r="V297" s="101"/>
      <c r="W297" s="101"/>
      <c r="X297" s="101"/>
      <c r="Y297" s="101"/>
      <c r="Z297" s="101"/>
      <c r="AA297" s="101"/>
      <c r="AB297" s="101"/>
      <c r="AC297" s="101"/>
      <c r="AD297" s="101"/>
      <c r="AE297" s="101"/>
      <c r="AF297" s="101"/>
      <c r="AG297" s="101"/>
      <c r="AH297" s="101"/>
      <c r="AI297" s="101"/>
      <c r="AJ297" s="101"/>
      <c r="AK297" s="101"/>
      <c r="AL297" s="101"/>
      <c r="AM297" s="101"/>
      <c r="AN297" s="101"/>
      <c r="AO297" s="101"/>
    </row>
    <row r="298" spans="1:41">
      <c r="A298" s="115"/>
      <c r="B298" s="116"/>
      <c r="C298" s="117"/>
      <c r="D298" s="116"/>
      <c r="E298" s="101"/>
      <c r="F298" s="101"/>
      <c r="G298" s="101"/>
      <c r="H298" s="101"/>
      <c r="I298" s="101"/>
      <c r="J298" s="101"/>
      <c r="K298" s="101"/>
      <c r="L298" s="101"/>
      <c r="M298" s="101"/>
      <c r="N298" s="101"/>
      <c r="O298" s="101"/>
      <c r="P298" s="101"/>
      <c r="Q298" s="101"/>
      <c r="R298" s="101"/>
      <c r="S298" s="101"/>
      <c r="T298" s="101"/>
      <c r="U298" s="101"/>
      <c r="V298" s="101"/>
      <c r="W298" s="101"/>
      <c r="X298" s="101"/>
      <c r="Y298" s="101"/>
      <c r="Z298" s="101"/>
      <c r="AA298" s="101"/>
      <c r="AB298" s="101"/>
      <c r="AC298" s="101"/>
      <c r="AD298" s="101"/>
      <c r="AE298" s="101"/>
      <c r="AF298" s="101"/>
      <c r="AG298" s="101"/>
      <c r="AH298" s="101"/>
      <c r="AI298" s="101"/>
      <c r="AJ298" s="101"/>
      <c r="AK298" s="101"/>
      <c r="AL298" s="101"/>
      <c r="AM298" s="101"/>
      <c r="AN298" s="101"/>
      <c r="AO298" s="101"/>
    </row>
    <row r="299" spans="1:41">
      <c r="A299" s="115"/>
      <c r="B299" s="116"/>
      <c r="C299" s="117"/>
      <c r="D299" s="116"/>
      <c r="E299" s="101"/>
      <c r="F299" s="101"/>
      <c r="G299" s="101"/>
      <c r="H299" s="101"/>
      <c r="I299" s="101"/>
      <c r="J299" s="101"/>
      <c r="K299" s="101"/>
      <c r="L299" s="101"/>
      <c r="M299" s="101"/>
      <c r="N299" s="101"/>
      <c r="O299" s="101"/>
      <c r="P299" s="101"/>
      <c r="Q299" s="101"/>
      <c r="R299" s="101"/>
      <c r="S299" s="101"/>
      <c r="T299" s="101"/>
      <c r="U299" s="101"/>
      <c r="V299" s="101"/>
      <c r="W299" s="101"/>
      <c r="X299" s="101"/>
      <c r="Y299" s="101"/>
      <c r="Z299" s="101"/>
      <c r="AA299" s="101"/>
      <c r="AB299" s="101"/>
      <c r="AC299" s="101"/>
      <c r="AD299" s="101"/>
      <c r="AE299" s="101"/>
      <c r="AF299" s="101"/>
      <c r="AG299" s="101"/>
      <c r="AH299" s="101"/>
      <c r="AI299" s="101"/>
      <c r="AJ299" s="101"/>
      <c r="AK299" s="101"/>
      <c r="AL299" s="101"/>
      <c r="AM299" s="101"/>
      <c r="AN299" s="101"/>
      <c r="AO299" s="101"/>
    </row>
    <row r="300" spans="1:41">
      <c r="A300" s="115"/>
      <c r="B300" s="116"/>
      <c r="C300" s="117"/>
      <c r="D300" s="116"/>
      <c r="E300" s="101"/>
      <c r="F300" s="101"/>
      <c r="G300" s="101"/>
      <c r="H300" s="101"/>
      <c r="I300" s="101"/>
      <c r="J300" s="101"/>
      <c r="K300" s="101"/>
      <c r="L300" s="101"/>
      <c r="M300" s="101"/>
      <c r="N300" s="101"/>
      <c r="O300" s="101"/>
      <c r="P300" s="101"/>
      <c r="Q300" s="101"/>
      <c r="R300" s="101"/>
      <c r="S300" s="101"/>
      <c r="T300" s="101"/>
      <c r="U300" s="101"/>
      <c r="V300" s="101"/>
      <c r="W300" s="101"/>
      <c r="X300" s="101"/>
      <c r="Y300" s="101"/>
      <c r="Z300" s="101"/>
      <c r="AA300" s="101"/>
      <c r="AB300" s="101"/>
      <c r="AC300" s="101"/>
      <c r="AD300" s="101"/>
      <c r="AE300" s="101"/>
      <c r="AF300" s="101"/>
      <c r="AG300" s="101"/>
      <c r="AH300" s="101"/>
      <c r="AI300" s="101"/>
      <c r="AJ300" s="101"/>
      <c r="AK300" s="101"/>
      <c r="AL300" s="101"/>
      <c r="AM300" s="101"/>
      <c r="AN300" s="101"/>
      <c r="AO300" s="101"/>
    </row>
    <row r="301" spans="1:41">
      <c r="A301" s="115"/>
      <c r="B301" s="116"/>
      <c r="C301" s="117"/>
      <c r="D301" s="116"/>
      <c r="E301" s="101"/>
      <c r="F301" s="101"/>
      <c r="G301" s="101"/>
      <c r="H301" s="101"/>
      <c r="I301" s="101"/>
      <c r="J301" s="101"/>
      <c r="K301" s="101"/>
      <c r="L301" s="101"/>
      <c r="M301" s="101"/>
      <c r="N301" s="101"/>
      <c r="O301" s="101"/>
      <c r="P301" s="101"/>
      <c r="Q301" s="101"/>
      <c r="R301" s="101"/>
      <c r="S301" s="101"/>
      <c r="T301" s="101"/>
      <c r="U301" s="101"/>
      <c r="V301" s="101"/>
      <c r="W301" s="101"/>
      <c r="X301" s="101"/>
      <c r="Y301" s="101"/>
      <c r="Z301" s="101"/>
      <c r="AA301" s="101"/>
      <c r="AB301" s="101"/>
      <c r="AC301" s="101"/>
      <c r="AD301" s="101"/>
      <c r="AE301" s="101"/>
      <c r="AF301" s="101"/>
      <c r="AG301" s="101"/>
      <c r="AH301" s="101"/>
      <c r="AI301" s="101"/>
      <c r="AJ301" s="101"/>
      <c r="AK301" s="101"/>
      <c r="AL301" s="101"/>
      <c r="AM301" s="101"/>
      <c r="AN301" s="101"/>
      <c r="AO301" s="101"/>
    </row>
    <row r="302" spans="1:41">
      <c r="A302" s="115"/>
      <c r="B302" s="116"/>
      <c r="C302" s="117"/>
      <c r="D302" s="116"/>
      <c r="E302" s="101"/>
      <c r="F302" s="101"/>
      <c r="G302" s="101"/>
      <c r="H302" s="101"/>
      <c r="I302" s="101"/>
      <c r="J302" s="101"/>
      <c r="K302" s="101"/>
      <c r="L302" s="101"/>
      <c r="M302" s="101"/>
      <c r="N302" s="101"/>
      <c r="O302" s="101"/>
      <c r="P302" s="101"/>
      <c r="Q302" s="101"/>
      <c r="R302" s="101"/>
      <c r="S302" s="101"/>
      <c r="T302" s="101"/>
      <c r="U302" s="101"/>
      <c r="V302" s="101"/>
      <c r="W302" s="101"/>
      <c r="X302" s="101"/>
      <c r="Y302" s="101"/>
      <c r="Z302" s="101"/>
      <c r="AA302" s="101"/>
      <c r="AB302" s="101"/>
      <c r="AC302" s="101"/>
      <c r="AD302" s="101"/>
      <c r="AE302" s="101"/>
      <c r="AF302" s="101"/>
      <c r="AG302" s="101"/>
      <c r="AH302" s="101"/>
      <c r="AI302" s="101"/>
      <c r="AJ302" s="101"/>
      <c r="AK302" s="101"/>
      <c r="AL302" s="101"/>
      <c r="AM302" s="101"/>
      <c r="AN302" s="101"/>
      <c r="AO302" s="101"/>
    </row>
    <row r="303" spans="1:41">
      <c r="A303" s="115"/>
      <c r="B303" s="116"/>
      <c r="C303" s="117"/>
      <c r="D303" s="116"/>
      <c r="E303" s="101"/>
      <c r="F303" s="101"/>
      <c r="G303" s="101"/>
      <c r="H303" s="101"/>
      <c r="I303" s="101"/>
      <c r="J303" s="101"/>
      <c r="K303" s="101"/>
      <c r="L303" s="101"/>
      <c r="M303" s="101"/>
      <c r="N303" s="101"/>
      <c r="O303" s="101"/>
      <c r="P303" s="101"/>
      <c r="Q303" s="101"/>
      <c r="R303" s="101"/>
      <c r="S303" s="101"/>
      <c r="T303" s="101"/>
      <c r="U303" s="101"/>
      <c r="V303" s="101"/>
      <c r="W303" s="101"/>
      <c r="X303" s="101"/>
      <c r="Y303" s="101"/>
      <c r="Z303" s="101"/>
      <c r="AA303" s="101"/>
      <c r="AB303" s="101"/>
      <c r="AC303" s="101"/>
      <c r="AD303" s="101"/>
      <c r="AE303" s="101"/>
      <c r="AF303" s="101"/>
      <c r="AG303" s="101"/>
      <c r="AH303" s="101"/>
      <c r="AI303" s="101"/>
      <c r="AJ303" s="101"/>
      <c r="AK303" s="101"/>
      <c r="AL303" s="101"/>
      <c r="AM303" s="101"/>
      <c r="AN303" s="101"/>
      <c r="AO303" s="101"/>
    </row>
    <row r="304" spans="1:41">
      <c r="A304" s="115"/>
      <c r="B304" s="116"/>
      <c r="C304" s="117"/>
      <c r="D304" s="116"/>
      <c r="E304" s="101"/>
      <c r="F304" s="101"/>
      <c r="G304" s="101"/>
      <c r="H304" s="101"/>
      <c r="I304" s="101"/>
      <c r="J304" s="101"/>
      <c r="K304" s="101"/>
      <c r="L304" s="101"/>
      <c r="M304" s="101"/>
      <c r="N304" s="101"/>
      <c r="O304" s="101"/>
      <c r="P304" s="101"/>
      <c r="Q304" s="101"/>
      <c r="R304" s="101"/>
      <c r="S304" s="101"/>
      <c r="T304" s="101"/>
      <c r="U304" s="101"/>
      <c r="V304" s="101"/>
      <c r="W304" s="101"/>
      <c r="X304" s="101"/>
      <c r="Y304" s="101"/>
      <c r="Z304" s="101"/>
      <c r="AA304" s="101"/>
      <c r="AB304" s="101"/>
      <c r="AC304" s="101"/>
      <c r="AD304" s="101"/>
      <c r="AE304" s="101"/>
      <c r="AF304" s="101"/>
      <c r="AG304" s="101"/>
      <c r="AH304" s="101"/>
      <c r="AI304" s="101"/>
      <c r="AJ304" s="101"/>
      <c r="AK304" s="101"/>
      <c r="AL304" s="101"/>
      <c r="AM304" s="101"/>
      <c r="AN304" s="101"/>
      <c r="AO304" s="101"/>
    </row>
    <row r="305" spans="1:41">
      <c r="A305" s="115"/>
      <c r="B305" s="116"/>
      <c r="C305" s="117"/>
      <c r="D305" s="116"/>
      <c r="E305" s="101"/>
      <c r="F305" s="101"/>
      <c r="G305" s="101"/>
      <c r="H305" s="101"/>
      <c r="I305" s="101"/>
      <c r="J305" s="101"/>
      <c r="K305" s="101"/>
      <c r="L305" s="101"/>
      <c r="M305" s="101"/>
      <c r="N305" s="101"/>
      <c r="O305" s="101"/>
      <c r="P305" s="101"/>
      <c r="Q305" s="101"/>
      <c r="R305" s="101"/>
      <c r="S305" s="101"/>
      <c r="T305" s="101"/>
      <c r="U305" s="101"/>
      <c r="V305" s="101"/>
      <c r="W305" s="101"/>
      <c r="X305" s="101"/>
      <c r="Y305" s="101"/>
      <c r="Z305" s="101"/>
      <c r="AA305" s="101"/>
      <c r="AB305" s="101"/>
      <c r="AC305" s="101"/>
      <c r="AD305" s="101"/>
      <c r="AE305" s="101"/>
      <c r="AF305" s="101"/>
      <c r="AG305" s="101"/>
      <c r="AH305" s="101"/>
      <c r="AI305" s="101"/>
      <c r="AJ305" s="101"/>
      <c r="AK305" s="101"/>
      <c r="AL305" s="101"/>
      <c r="AM305" s="101"/>
      <c r="AN305" s="101"/>
      <c r="AO305" s="101"/>
    </row>
    <row r="306" spans="1:41">
      <c r="A306" s="115"/>
      <c r="B306" s="116"/>
      <c r="C306" s="117"/>
      <c r="D306" s="116"/>
      <c r="E306" s="101"/>
      <c r="F306" s="101"/>
      <c r="G306" s="101"/>
      <c r="H306" s="101"/>
      <c r="I306" s="101"/>
      <c r="J306" s="101"/>
      <c r="K306" s="101"/>
      <c r="L306" s="101"/>
      <c r="M306" s="101"/>
      <c r="N306" s="101"/>
      <c r="O306" s="101"/>
      <c r="P306" s="101"/>
      <c r="Q306" s="101"/>
      <c r="R306" s="101"/>
      <c r="S306" s="101"/>
      <c r="T306" s="101"/>
      <c r="U306" s="101"/>
      <c r="V306" s="101"/>
      <c r="W306" s="101"/>
      <c r="X306" s="101"/>
      <c r="Y306" s="101"/>
      <c r="Z306" s="101"/>
      <c r="AA306" s="101"/>
      <c r="AB306" s="101"/>
      <c r="AC306" s="101"/>
      <c r="AD306" s="101"/>
      <c r="AE306" s="101"/>
      <c r="AF306" s="101"/>
      <c r="AG306" s="101"/>
      <c r="AH306" s="101"/>
      <c r="AI306" s="101"/>
      <c r="AJ306" s="101"/>
      <c r="AK306" s="101"/>
      <c r="AL306" s="101"/>
      <c r="AM306" s="101"/>
      <c r="AN306" s="101"/>
      <c r="AO306" s="101"/>
    </row>
    <row r="307" spans="1:41">
      <c r="A307" s="115"/>
      <c r="B307" s="116"/>
      <c r="C307" s="117"/>
      <c r="D307" s="116"/>
      <c r="E307" s="101"/>
      <c r="F307" s="101"/>
      <c r="G307" s="101"/>
      <c r="H307" s="101"/>
      <c r="I307" s="101"/>
      <c r="J307" s="101"/>
      <c r="K307" s="101"/>
      <c r="L307" s="101"/>
      <c r="M307" s="101"/>
      <c r="N307" s="101"/>
      <c r="O307" s="101"/>
      <c r="P307" s="101"/>
      <c r="Q307" s="101"/>
      <c r="R307" s="101"/>
      <c r="S307" s="101"/>
      <c r="T307" s="101"/>
      <c r="U307" s="101"/>
      <c r="V307" s="101"/>
      <c r="W307" s="101"/>
      <c r="X307" s="101"/>
      <c r="Y307" s="101"/>
      <c r="Z307" s="101"/>
      <c r="AA307" s="101"/>
      <c r="AB307" s="101"/>
      <c r="AC307" s="101"/>
      <c r="AD307" s="101"/>
      <c r="AE307" s="101"/>
      <c r="AF307" s="101"/>
      <c r="AG307" s="101"/>
      <c r="AH307" s="101"/>
      <c r="AI307" s="101"/>
      <c r="AJ307" s="101"/>
      <c r="AK307" s="101"/>
      <c r="AL307" s="101"/>
      <c r="AM307" s="101"/>
      <c r="AN307" s="101"/>
      <c r="AO307" s="101"/>
    </row>
    <row r="308" spans="1:41">
      <c r="A308" s="115"/>
      <c r="B308" s="116"/>
      <c r="C308" s="117"/>
      <c r="D308" s="116"/>
      <c r="E308" s="101"/>
      <c r="F308" s="101"/>
      <c r="G308" s="101"/>
      <c r="H308" s="101"/>
      <c r="I308" s="101"/>
      <c r="J308" s="101"/>
      <c r="K308" s="101"/>
      <c r="L308" s="101"/>
      <c r="M308" s="101"/>
      <c r="N308" s="101"/>
      <c r="O308" s="101"/>
      <c r="P308" s="101"/>
      <c r="Q308" s="101"/>
      <c r="R308" s="101"/>
      <c r="S308" s="101"/>
      <c r="T308" s="101"/>
      <c r="U308" s="101"/>
      <c r="V308" s="101"/>
      <c r="W308" s="101"/>
      <c r="X308" s="101"/>
      <c r="Y308" s="101"/>
      <c r="Z308" s="101"/>
      <c r="AA308" s="101"/>
      <c r="AB308" s="101"/>
      <c r="AC308" s="101"/>
      <c r="AD308" s="101"/>
      <c r="AE308" s="101"/>
      <c r="AF308" s="101"/>
      <c r="AG308" s="101"/>
      <c r="AH308" s="101"/>
      <c r="AI308" s="101"/>
      <c r="AJ308" s="101"/>
      <c r="AK308" s="101"/>
      <c r="AL308" s="101"/>
      <c r="AM308" s="101"/>
      <c r="AN308" s="101"/>
      <c r="AO308" s="101"/>
    </row>
    <row r="309" spans="1:41">
      <c r="A309" s="115"/>
      <c r="B309" s="116"/>
      <c r="C309" s="117"/>
      <c r="D309" s="116"/>
      <c r="E309" s="101"/>
      <c r="F309" s="101"/>
      <c r="G309" s="101"/>
      <c r="H309" s="101"/>
      <c r="I309" s="101"/>
      <c r="J309" s="101"/>
      <c r="K309" s="101"/>
      <c r="L309" s="101"/>
      <c r="M309" s="101"/>
      <c r="N309" s="101"/>
      <c r="O309" s="101"/>
      <c r="P309" s="101"/>
      <c r="Q309" s="101"/>
      <c r="R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row>
    <row r="310" spans="1:41">
      <c r="A310" s="115"/>
      <c r="B310" s="116"/>
      <c r="C310" s="117"/>
      <c r="D310" s="116"/>
      <c r="E310" s="101"/>
      <c r="F310" s="101"/>
      <c r="G310" s="101"/>
      <c r="H310" s="101"/>
      <c r="I310" s="101"/>
      <c r="J310" s="101"/>
      <c r="K310" s="101"/>
      <c r="L310" s="101"/>
      <c r="M310" s="101"/>
      <c r="N310" s="101"/>
      <c r="O310" s="101"/>
      <c r="P310" s="101"/>
      <c r="Q310" s="101"/>
      <c r="R310" s="101"/>
      <c r="S310" s="101"/>
      <c r="T310" s="101"/>
      <c r="U310" s="101"/>
      <c r="V310" s="101"/>
      <c r="W310" s="101"/>
      <c r="X310" s="101"/>
      <c r="Y310" s="101"/>
      <c r="Z310" s="101"/>
      <c r="AA310" s="101"/>
      <c r="AB310" s="101"/>
      <c r="AC310" s="101"/>
      <c r="AD310" s="101"/>
      <c r="AE310" s="101"/>
      <c r="AF310" s="101"/>
      <c r="AG310" s="101"/>
      <c r="AH310" s="101"/>
      <c r="AI310" s="101"/>
      <c r="AJ310" s="101"/>
      <c r="AK310" s="101"/>
      <c r="AL310" s="101"/>
      <c r="AM310" s="101"/>
      <c r="AN310" s="101"/>
      <c r="AO310" s="101"/>
    </row>
    <row r="311" spans="1:41">
      <c r="A311" s="115"/>
      <c r="B311" s="116"/>
      <c r="C311" s="117"/>
      <c r="D311" s="116"/>
      <c r="E311" s="101"/>
      <c r="F311" s="101"/>
      <c r="G311" s="101"/>
      <c r="H311" s="101"/>
      <c r="I311" s="101"/>
      <c r="J311" s="101"/>
      <c r="K311" s="101"/>
      <c r="L311" s="101"/>
      <c r="M311" s="101"/>
      <c r="N311" s="101"/>
      <c r="O311" s="101"/>
      <c r="P311" s="101"/>
      <c r="Q311" s="101"/>
      <c r="R311" s="101"/>
      <c r="S311" s="101"/>
      <c r="T311" s="101"/>
      <c r="U311" s="101"/>
      <c r="V311" s="101"/>
      <c r="W311" s="101"/>
      <c r="X311" s="101"/>
      <c r="Y311" s="101"/>
      <c r="Z311" s="101"/>
      <c r="AA311" s="101"/>
      <c r="AB311" s="101"/>
      <c r="AC311" s="101"/>
      <c r="AD311" s="101"/>
      <c r="AE311" s="101"/>
      <c r="AF311" s="101"/>
      <c r="AG311" s="101"/>
      <c r="AH311" s="101"/>
      <c r="AI311" s="101"/>
      <c r="AJ311" s="101"/>
      <c r="AK311" s="101"/>
      <c r="AL311" s="101"/>
      <c r="AM311" s="101"/>
      <c r="AN311" s="101"/>
      <c r="AO311" s="101"/>
    </row>
    <row r="312" spans="1:41">
      <c r="A312" s="115"/>
      <c r="B312" s="116"/>
      <c r="C312" s="117"/>
      <c r="D312" s="116"/>
      <c r="E312" s="101"/>
      <c r="F312" s="101"/>
      <c r="G312" s="101"/>
      <c r="H312" s="101"/>
      <c r="I312" s="101"/>
      <c r="J312" s="101"/>
      <c r="K312" s="101"/>
      <c r="L312" s="101"/>
      <c r="M312" s="101"/>
      <c r="N312" s="101"/>
      <c r="O312" s="101"/>
      <c r="P312" s="101"/>
      <c r="Q312" s="101"/>
      <c r="R312" s="101"/>
      <c r="S312" s="101"/>
      <c r="T312" s="101"/>
      <c r="U312" s="101"/>
      <c r="V312" s="101"/>
      <c r="W312" s="101"/>
      <c r="X312" s="101"/>
      <c r="Y312" s="101"/>
      <c r="Z312" s="101"/>
      <c r="AA312" s="101"/>
      <c r="AB312" s="101"/>
      <c r="AC312" s="101"/>
      <c r="AD312" s="101"/>
      <c r="AE312" s="101"/>
      <c r="AF312" s="101"/>
      <c r="AG312" s="101"/>
      <c r="AH312" s="101"/>
      <c r="AI312" s="101"/>
      <c r="AJ312" s="101"/>
      <c r="AK312" s="101"/>
      <c r="AL312" s="101"/>
      <c r="AM312" s="101"/>
      <c r="AN312" s="101"/>
      <c r="AO312" s="101"/>
    </row>
    <row r="313" spans="1:41">
      <c r="A313" s="115"/>
      <c r="B313" s="116"/>
      <c r="C313" s="117"/>
      <c r="D313" s="116"/>
      <c r="E313" s="101"/>
      <c r="F313" s="101"/>
      <c r="G313" s="101"/>
      <c r="H313" s="101"/>
      <c r="I313" s="101"/>
      <c r="J313" s="101"/>
      <c r="K313" s="101"/>
      <c r="L313" s="101"/>
      <c r="M313" s="101"/>
      <c r="N313" s="101"/>
      <c r="O313" s="101"/>
      <c r="P313" s="101"/>
      <c r="Q313" s="101"/>
      <c r="R313" s="101"/>
      <c r="S313" s="101"/>
      <c r="T313" s="101"/>
      <c r="U313" s="101"/>
      <c r="V313" s="101"/>
      <c r="W313" s="101"/>
      <c r="X313" s="101"/>
      <c r="Y313" s="101"/>
      <c r="Z313" s="101"/>
      <c r="AA313" s="101"/>
      <c r="AB313" s="101"/>
      <c r="AC313" s="101"/>
      <c r="AD313" s="101"/>
      <c r="AE313" s="101"/>
      <c r="AF313" s="101"/>
      <c r="AG313" s="101"/>
      <c r="AH313" s="101"/>
      <c r="AI313" s="101"/>
      <c r="AJ313" s="101"/>
      <c r="AK313" s="101"/>
      <c r="AL313" s="101"/>
      <c r="AM313" s="101"/>
      <c r="AN313" s="101"/>
      <c r="AO313" s="101"/>
    </row>
    <row r="314" spans="1:41">
      <c r="A314" s="115"/>
      <c r="B314" s="116"/>
      <c r="C314" s="117"/>
      <c r="D314" s="116"/>
      <c r="E314" s="101"/>
      <c r="F314" s="101"/>
      <c r="G314" s="101"/>
      <c r="H314" s="101"/>
      <c r="I314" s="101"/>
      <c r="J314" s="101"/>
      <c r="K314" s="101"/>
      <c r="L314" s="101"/>
      <c r="M314" s="101"/>
      <c r="N314" s="101"/>
      <c r="O314" s="101"/>
      <c r="P314" s="101"/>
      <c r="Q314" s="101"/>
      <c r="R314" s="101"/>
      <c r="S314" s="101"/>
      <c r="T314" s="101"/>
      <c r="U314" s="101"/>
      <c r="V314" s="101"/>
      <c r="W314" s="101"/>
      <c r="X314" s="101"/>
      <c r="Y314" s="101"/>
      <c r="Z314" s="101"/>
      <c r="AA314" s="101"/>
      <c r="AB314" s="101"/>
      <c r="AC314" s="101"/>
      <c r="AD314" s="101"/>
      <c r="AE314" s="101"/>
      <c r="AF314" s="101"/>
      <c r="AG314" s="101"/>
      <c r="AH314" s="101"/>
      <c r="AI314" s="101"/>
      <c r="AJ314" s="101"/>
      <c r="AK314" s="101"/>
      <c r="AL314" s="101"/>
      <c r="AM314" s="101"/>
      <c r="AN314" s="101"/>
      <c r="AO314" s="101"/>
    </row>
    <row r="315" spans="1:41">
      <c r="A315" s="115"/>
      <c r="B315" s="116"/>
      <c r="C315" s="117"/>
      <c r="D315" s="116"/>
      <c r="E315" s="101"/>
      <c r="F315" s="101"/>
      <c r="G315" s="101"/>
      <c r="H315" s="101"/>
      <c r="I315" s="101"/>
      <c r="J315" s="101"/>
      <c r="K315" s="101"/>
      <c r="L315" s="101"/>
      <c r="M315" s="101"/>
      <c r="N315" s="101"/>
      <c r="O315" s="101"/>
      <c r="P315" s="101"/>
      <c r="Q315" s="101"/>
      <c r="R315" s="101"/>
      <c r="S315" s="101"/>
      <c r="T315" s="101"/>
      <c r="U315" s="101"/>
      <c r="V315" s="101"/>
      <c r="W315" s="101"/>
      <c r="X315" s="101"/>
      <c r="Y315" s="101"/>
      <c r="Z315" s="101"/>
      <c r="AA315" s="101"/>
      <c r="AB315" s="101"/>
      <c r="AC315" s="101"/>
      <c r="AD315" s="101"/>
      <c r="AE315" s="101"/>
      <c r="AF315" s="101"/>
      <c r="AG315" s="101"/>
      <c r="AH315" s="101"/>
      <c r="AI315" s="101"/>
      <c r="AJ315" s="101"/>
      <c r="AK315" s="101"/>
      <c r="AL315" s="101"/>
      <c r="AM315" s="101"/>
      <c r="AN315" s="101"/>
      <c r="AO315" s="101"/>
    </row>
    <row r="316" spans="1:41">
      <c r="A316" s="115"/>
      <c r="B316" s="116"/>
      <c r="C316" s="117"/>
      <c r="D316" s="116"/>
      <c r="E316" s="101"/>
      <c r="F316" s="101"/>
      <c r="G316" s="101"/>
      <c r="H316" s="101"/>
      <c r="I316" s="101"/>
      <c r="J316" s="101"/>
      <c r="K316" s="101"/>
      <c r="L316" s="101"/>
      <c r="M316" s="101"/>
      <c r="N316" s="101"/>
      <c r="O316" s="101"/>
      <c r="P316" s="101"/>
      <c r="Q316" s="101"/>
      <c r="R316" s="101"/>
      <c r="S316" s="101"/>
      <c r="T316" s="101"/>
      <c r="U316" s="101"/>
      <c r="V316" s="101"/>
      <c r="W316" s="101"/>
      <c r="X316" s="101"/>
      <c r="Y316" s="101"/>
      <c r="Z316" s="101"/>
      <c r="AA316" s="101"/>
      <c r="AB316" s="101"/>
      <c r="AC316" s="101"/>
      <c r="AD316" s="101"/>
      <c r="AE316" s="101"/>
      <c r="AF316" s="101"/>
      <c r="AG316" s="101"/>
      <c r="AH316" s="101"/>
      <c r="AI316" s="101"/>
      <c r="AJ316" s="101"/>
      <c r="AK316" s="101"/>
      <c r="AL316" s="101"/>
      <c r="AM316" s="101"/>
      <c r="AN316" s="101"/>
      <c r="AO316" s="101"/>
    </row>
    <row r="317" spans="1:41">
      <c r="A317" s="115"/>
      <c r="B317" s="116"/>
      <c r="C317" s="117"/>
      <c r="D317" s="116"/>
      <c r="E317" s="101"/>
      <c r="F317" s="101"/>
      <c r="G317" s="101"/>
      <c r="H317" s="101"/>
      <c r="I317" s="101"/>
      <c r="J317" s="101"/>
      <c r="K317" s="101"/>
      <c r="L317" s="101"/>
      <c r="M317" s="101"/>
      <c r="N317" s="101"/>
      <c r="O317" s="101"/>
      <c r="P317" s="101"/>
      <c r="Q317" s="101"/>
      <c r="R317" s="101"/>
      <c r="S317" s="101"/>
      <c r="T317" s="101"/>
      <c r="U317" s="101"/>
      <c r="V317" s="101"/>
      <c r="W317" s="101"/>
      <c r="X317" s="101"/>
      <c r="Y317" s="101"/>
      <c r="Z317" s="101"/>
      <c r="AA317" s="101"/>
      <c r="AB317" s="101"/>
      <c r="AC317" s="101"/>
      <c r="AD317" s="101"/>
      <c r="AE317" s="101"/>
      <c r="AF317" s="101"/>
      <c r="AG317" s="101"/>
      <c r="AH317" s="101"/>
      <c r="AI317" s="101"/>
      <c r="AJ317" s="101"/>
      <c r="AK317" s="101"/>
      <c r="AL317" s="101"/>
      <c r="AM317" s="101"/>
      <c r="AN317" s="101"/>
      <c r="AO317" s="101"/>
    </row>
    <row r="318" spans="1:41">
      <c r="A318" s="115"/>
      <c r="B318" s="116"/>
      <c r="C318" s="117"/>
      <c r="D318" s="116"/>
      <c r="E318" s="101"/>
      <c r="F318" s="101"/>
      <c r="G318" s="101"/>
      <c r="H318" s="101"/>
      <c r="I318" s="101"/>
      <c r="J318" s="101"/>
      <c r="K318" s="101"/>
      <c r="L318" s="101"/>
      <c r="M318" s="101"/>
      <c r="N318" s="101"/>
      <c r="O318" s="101"/>
      <c r="P318" s="101"/>
      <c r="Q318" s="101"/>
      <c r="R318" s="101"/>
      <c r="S318" s="101"/>
      <c r="T318" s="101"/>
      <c r="U318" s="101"/>
      <c r="V318" s="101"/>
      <c r="W318" s="101"/>
      <c r="X318" s="101"/>
      <c r="Y318" s="101"/>
      <c r="Z318" s="101"/>
      <c r="AA318" s="101"/>
      <c r="AB318" s="101"/>
      <c r="AC318" s="101"/>
      <c r="AD318" s="101"/>
      <c r="AE318" s="101"/>
      <c r="AF318" s="101"/>
      <c r="AG318" s="101"/>
      <c r="AH318" s="101"/>
      <c r="AI318" s="101"/>
      <c r="AJ318" s="101"/>
      <c r="AK318" s="101"/>
      <c r="AL318" s="101"/>
      <c r="AM318" s="101"/>
      <c r="AN318" s="101"/>
      <c r="AO318" s="101"/>
    </row>
    <row r="319" spans="1:41">
      <c r="A319" s="115"/>
      <c r="B319" s="116"/>
      <c r="C319" s="117"/>
      <c r="D319" s="116"/>
      <c r="E319" s="101"/>
      <c r="F319" s="101"/>
      <c r="G319" s="101"/>
      <c r="H319" s="101"/>
      <c r="I319" s="101"/>
      <c r="J319" s="101"/>
      <c r="K319" s="101"/>
      <c r="L319" s="101"/>
      <c r="M319" s="101"/>
      <c r="N319" s="101"/>
      <c r="O319" s="101"/>
      <c r="P319" s="101"/>
      <c r="Q319" s="101"/>
      <c r="R319" s="101"/>
      <c r="S319" s="101"/>
      <c r="T319" s="101"/>
      <c r="U319" s="101"/>
      <c r="V319" s="101"/>
      <c r="W319" s="101"/>
      <c r="X319" s="101"/>
      <c r="Y319" s="101"/>
      <c r="Z319" s="101"/>
      <c r="AA319" s="101"/>
      <c r="AB319" s="101"/>
      <c r="AC319" s="101"/>
      <c r="AD319" s="101"/>
      <c r="AE319" s="101"/>
      <c r="AF319" s="101"/>
      <c r="AG319" s="101"/>
      <c r="AH319" s="101"/>
      <c r="AI319" s="101"/>
      <c r="AJ319" s="101"/>
      <c r="AK319" s="101"/>
      <c r="AL319" s="101"/>
      <c r="AM319" s="101"/>
      <c r="AN319" s="101"/>
      <c r="AO319" s="101"/>
    </row>
    <row r="320" spans="1:41">
      <c r="A320" s="115"/>
      <c r="B320" s="116"/>
      <c r="C320" s="117"/>
      <c r="D320" s="116"/>
      <c r="E320" s="101"/>
      <c r="F320" s="101"/>
      <c r="G320" s="101"/>
      <c r="H320" s="101"/>
      <c r="I320" s="101"/>
      <c r="J320" s="101"/>
      <c r="K320" s="101"/>
      <c r="L320" s="101"/>
      <c r="M320" s="101"/>
      <c r="N320" s="101"/>
      <c r="O320" s="101"/>
      <c r="P320" s="101"/>
      <c r="Q320" s="101"/>
      <c r="R320" s="101"/>
      <c r="S320" s="101"/>
      <c r="T320" s="101"/>
      <c r="U320" s="101"/>
      <c r="V320" s="101"/>
      <c r="W320" s="101"/>
      <c r="X320" s="101"/>
      <c r="Y320" s="101"/>
      <c r="Z320" s="101"/>
      <c r="AA320" s="101"/>
      <c r="AB320" s="101"/>
      <c r="AC320" s="101"/>
      <c r="AD320" s="101"/>
      <c r="AE320" s="101"/>
      <c r="AF320" s="101"/>
      <c r="AG320" s="101"/>
      <c r="AH320" s="101"/>
      <c r="AI320" s="101"/>
      <c r="AJ320" s="101"/>
      <c r="AK320" s="101"/>
      <c r="AL320" s="101"/>
      <c r="AM320" s="101"/>
      <c r="AN320" s="101"/>
      <c r="AO320" s="101"/>
    </row>
    <row r="321" spans="1:41">
      <c r="A321" s="115"/>
      <c r="B321" s="116"/>
      <c r="C321" s="117"/>
      <c r="D321" s="116"/>
      <c r="E321" s="101"/>
      <c r="F321" s="101"/>
      <c r="G321" s="101"/>
      <c r="H321" s="101"/>
      <c r="I321" s="101"/>
      <c r="J321" s="101"/>
      <c r="K321" s="101"/>
      <c r="L321" s="101"/>
      <c r="M321" s="101"/>
      <c r="N321" s="101"/>
      <c r="O321" s="101"/>
      <c r="P321" s="101"/>
      <c r="Q321" s="101"/>
      <c r="R321" s="101"/>
      <c r="S321" s="101"/>
      <c r="T321" s="101"/>
      <c r="U321" s="101"/>
      <c r="V321" s="101"/>
      <c r="W321" s="101"/>
      <c r="X321" s="101"/>
      <c r="Y321" s="101"/>
      <c r="Z321" s="101"/>
      <c r="AA321" s="101"/>
      <c r="AB321" s="101"/>
      <c r="AC321" s="101"/>
      <c r="AD321" s="101"/>
      <c r="AE321" s="101"/>
      <c r="AF321" s="101"/>
      <c r="AG321" s="101"/>
      <c r="AH321" s="101"/>
      <c r="AI321" s="101"/>
      <c r="AJ321" s="101"/>
      <c r="AK321" s="101"/>
      <c r="AL321" s="101"/>
      <c r="AM321" s="101"/>
      <c r="AN321" s="101"/>
      <c r="AO321" s="101"/>
    </row>
    <row r="322" spans="1:41">
      <c r="A322" s="115"/>
      <c r="B322" s="116"/>
      <c r="C322" s="117"/>
      <c r="D322" s="116"/>
      <c r="E322" s="101"/>
      <c r="F322" s="101"/>
      <c r="G322" s="101"/>
      <c r="H322" s="101"/>
      <c r="I322" s="101"/>
      <c r="J322" s="101"/>
      <c r="K322" s="101"/>
      <c r="L322" s="101"/>
      <c r="M322" s="101"/>
      <c r="N322" s="101"/>
      <c r="O322" s="101"/>
      <c r="P322" s="101"/>
      <c r="Q322" s="101"/>
      <c r="R322" s="101"/>
      <c r="S322" s="101"/>
      <c r="T322" s="101"/>
      <c r="U322" s="101"/>
      <c r="V322" s="101"/>
      <c r="W322" s="101"/>
      <c r="X322" s="101"/>
      <c r="Y322" s="101"/>
      <c r="Z322" s="101"/>
      <c r="AA322" s="101"/>
      <c r="AB322" s="101"/>
      <c r="AC322" s="101"/>
      <c r="AD322" s="101"/>
      <c r="AE322" s="101"/>
      <c r="AF322" s="101"/>
      <c r="AG322" s="101"/>
      <c r="AH322" s="101"/>
      <c r="AI322" s="101"/>
      <c r="AJ322" s="101"/>
      <c r="AK322" s="101"/>
      <c r="AL322" s="101"/>
      <c r="AM322" s="101"/>
      <c r="AN322" s="101"/>
      <c r="AO322" s="101"/>
    </row>
    <row r="323" spans="1:41">
      <c r="A323" s="115"/>
      <c r="B323" s="116"/>
      <c r="C323" s="117"/>
      <c r="D323" s="116"/>
      <c r="E323" s="101"/>
      <c r="F323" s="101"/>
      <c r="G323" s="101"/>
      <c r="H323" s="101"/>
      <c r="I323" s="101"/>
      <c r="J323" s="101"/>
      <c r="K323" s="101"/>
      <c r="L323" s="101"/>
      <c r="M323" s="101"/>
      <c r="N323" s="101"/>
      <c r="O323" s="101"/>
      <c r="P323" s="101"/>
      <c r="Q323" s="101"/>
      <c r="R323" s="101"/>
      <c r="S323" s="101"/>
      <c r="T323" s="101"/>
      <c r="U323" s="101"/>
      <c r="V323" s="101"/>
      <c r="W323" s="101"/>
      <c r="X323" s="101"/>
      <c r="Y323" s="101"/>
      <c r="Z323" s="101"/>
      <c r="AA323" s="101"/>
      <c r="AB323" s="101"/>
      <c r="AC323" s="101"/>
      <c r="AD323" s="101"/>
      <c r="AE323" s="101"/>
      <c r="AF323" s="101"/>
      <c r="AG323" s="101"/>
      <c r="AH323" s="101"/>
      <c r="AI323" s="101"/>
      <c r="AJ323" s="101"/>
      <c r="AK323" s="101"/>
      <c r="AL323" s="101"/>
      <c r="AM323" s="101"/>
      <c r="AN323" s="101"/>
      <c r="AO323" s="101"/>
    </row>
    <row r="324" spans="1:41">
      <c r="A324" s="115"/>
      <c r="B324" s="116"/>
      <c r="C324" s="117"/>
      <c r="D324" s="116"/>
      <c r="E324" s="101"/>
      <c r="F324" s="101"/>
      <c r="G324" s="101"/>
      <c r="H324" s="101"/>
      <c r="I324" s="101"/>
      <c r="J324" s="101"/>
      <c r="K324" s="101"/>
      <c r="L324" s="101"/>
      <c r="M324" s="101"/>
      <c r="N324" s="101"/>
      <c r="O324" s="101"/>
      <c r="P324" s="101"/>
      <c r="Q324" s="101"/>
      <c r="R324" s="101"/>
      <c r="S324" s="101"/>
      <c r="T324" s="101"/>
      <c r="U324" s="101"/>
      <c r="V324" s="101"/>
      <c r="W324" s="101"/>
      <c r="X324" s="101"/>
      <c r="Y324" s="101"/>
      <c r="Z324" s="101"/>
      <c r="AA324" s="101"/>
      <c r="AB324" s="101"/>
      <c r="AC324" s="101"/>
      <c r="AD324" s="101"/>
      <c r="AE324" s="101"/>
      <c r="AF324" s="101"/>
      <c r="AG324" s="101"/>
      <c r="AH324" s="101"/>
      <c r="AI324" s="101"/>
      <c r="AJ324" s="101"/>
      <c r="AK324" s="101"/>
      <c r="AL324" s="101"/>
      <c r="AM324" s="101"/>
      <c r="AN324" s="101"/>
      <c r="AO324" s="101"/>
    </row>
    <row r="325" spans="1:41">
      <c r="A325" s="115"/>
      <c r="B325" s="116"/>
      <c r="C325" s="117"/>
      <c r="D325" s="116"/>
      <c r="E325" s="101"/>
      <c r="F325" s="101"/>
      <c r="G325" s="101"/>
      <c r="H325" s="101"/>
      <c r="I325" s="101"/>
      <c r="J325" s="101"/>
      <c r="K325" s="101"/>
      <c r="L325" s="101"/>
      <c r="M325" s="101"/>
      <c r="N325" s="101"/>
      <c r="O325" s="101"/>
      <c r="P325" s="101"/>
      <c r="Q325" s="101"/>
      <c r="R325" s="101"/>
      <c r="S325" s="101"/>
      <c r="T325" s="101"/>
      <c r="U325" s="101"/>
      <c r="V325" s="101"/>
      <c r="W325" s="101"/>
      <c r="X325" s="101"/>
      <c r="Y325" s="101"/>
      <c r="Z325" s="101"/>
      <c r="AA325" s="101"/>
      <c r="AB325" s="101"/>
      <c r="AC325" s="101"/>
      <c r="AD325" s="101"/>
      <c r="AE325" s="101"/>
      <c r="AF325" s="101"/>
      <c r="AG325" s="101"/>
      <c r="AH325" s="101"/>
      <c r="AI325" s="101"/>
      <c r="AJ325" s="101"/>
      <c r="AK325" s="101"/>
      <c r="AL325" s="101"/>
      <c r="AM325" s="101"/>
      <c r="AN325" s="101"/>
      <c r="AO325" s="101"/>
    </row>
    <row r="326" spans="1:41">
      <c r="A326" s="115"/>
      <c r="B326" s="116"/>
      <c r="C326" s="117"/>
      <c r="D326" s="116"/>
      <c r="E326" s="101"/>
      <c r="F326" s="101"/>
      <c r="G326" s="101"/>
      <c r="H326" s="101"/>
      <c r="I326" s="101"/>
      <c r="J326" s="101"/>
      <c r="K326" s="101"/>
      <c r="L326" s="101"/>
      <c r="M326" s="101"/>
      <c r="N326" s="101"/>
      <c r="O326" s="101"/>
      <c r="P326" s="101"/>
      <c r="Q326" s="101"/>
      <c r="R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row>
    <row r="327" spans="1:41">
      <c r="A327" s="115"/>
      <c r="B327" s="116"/>
      <c r="C327" s="117"/>
      <c r="D327" s="116"/>
      <c r="E327" s="101"/>
      <c r="F327" s="101"/>
      <c r="G327" s="101"/>
      <c r="H327" s="101"/>
      <c r="I327" s="101"/>
      <c r="J327" s="101"/>
      <c r="K327" s="101"/>
      <c r="L327" s="101"/>
      <c r="M327" s="101"/>
      <c r="N327" s="101"/>
      <c r="O327" s="101"/>
      <c r="P327" s="101"/>
      <c r="Q327" s="101"/>
      <c r="R327" s="101"/>
      <c r="S327" s="101"/>
      <c r="T327" s="101"/>
      <c r="U327" s="101"/>
      <c r="V327" s="101"/>
      <c r="W327" s="101"/>
      <c r="X327" s="101"/>
      <c r="Y327" s="101"/>
      <c r="Z327" s="101"/>
      <c r="AA327" s="101"/>
      <c r="AB327" s="101"/>
      <c r="AC327" s="101"/>
      <c r="AD327" s="101"/>
      <c r="AE327" s="101"/>
      <c r="AF327" s="101"/>
      <c r="AG327" s="101"/>
      <c r="AH327" s="101"/>
      <c r="AI327" s="101"/>
      <c r="AJ327" s="101"/>
      <c r="AK327" s="101"/>
      <c r="AL327" s="101"/>
      <c r="AM327" s="101"/>
      <c r="AN327" s="101"/>
      <c r="AO327" s="101"/>
    </row>
    <row r="328" spans="1:41">
      <c r="A328" s="115"/>
      <c r="B328" s="116"/>
      <c r="C328" s="117"/>
      <c r="D328" s="116"/>
      <c r="E328" s="101"/>
      <c r="F328" s="101"/>
      <c r="G328" s="101"/>
      <c r="H328" s="101"/>
      <c r="I328" s="101"/>
      <c r="J328" s="101"/>
      <c r="K328" s="101"/>
      <c r="L328" s="101"/>
      <c r="M328" s="101"/>
      <c r="N328" s="101"/>
      <c r="O328" s="101"/>
      <c r="P328" s="101"/>
      <c r="Q328" s="101"/>
      <c r="R328" s="101"/>
      <c r="S328" s="101"/>
      <c r="T328" s="101"/>
      <c r="U328" s="101"/>
      <c r="V328" s="101"/>
      <c r="W328" s="101"/>
      <c r="X328" s="101"/>
      <c r="Y328" s="101"/>
      <c r="Z328" s="101"/>
      <c r="AA328" s="101"/>
      <c r="AB328" s="101"/>
      <c r="AC328" s="101"/>
      <c r="AD328" s="101"/>
      <c r="AE328" s="101"/>
      <c r="AF328" s="101"/>
      <c r="AG328" s="101"/>
      <c r="AH328" s="101"/>
      <c r="AI328" s="101"/>
      <c r="AJ328" s="101"/>
      <c r="AK328" s="101"/>
      <c r="AL328" s="101"/>
      <c r="AM328" s="101"/>
      <c r="AN328" s="101"/>
      <c r="AO328" s="101"/>
    </row>
    <row r="329" spans="1:41">
      <c r="A329" s="115"/>
      <c r="B329" s="116"/>
      <c r="C329" s="117"/>
      <c r="D329" s="116"/>
      <c r="E329" s="101"/>
      <c r="F329" s="101"/>
      <c r="G329" s="101"/>
      <c r="H329" s="101"/>
      <c r="I329" s="101"/>
      <c r="J329" s="101"/>
      <c r="K329" s="101"/>
      <c r="L329" s="101"/>
      <c r="M329" s="101"/>
      <c r="N329" s="101"/>
      <c r="O329" s="101"/>
      <c r="P329" s="101"/>
      <c r="Q329" s="101"/>
      <c r="R329" s="101"/>
      <c r="S329" s="101"/>
      <c r="T329" s="101"/>
      <c r="U329" s="101"/>
      <c r="V329" s="101"/>
      <c r="W329" s="101"/>
      <c r="X329" s="101"/>
      <c r="Y329" s="101"/>
      <c r="Z329" s="101"/>
      <c r="AA329" s="101"/>
      <c r="AB329" s="101"/>
      <c r="AC329" s="101"/>
      <c r="AD329" s="101"/>
      <c r="AE329" s="101"/>
      <c r="AF329" s="101"/>
      <c r="AG329" s="101"/>
      <c r="AH329" s="101"/>
      <c r="AI329" s="101"/>
      <c r="AJ329" s="101"/>
      <c r="AK329" s="101"/>
      <c r="AL329" s="101"/>
      <c r="AM329" s="101"/>
      <c r="AN329" s="101"/>
      <c r="AO329" s="101"/>
    </row>
    <row r="330" spans="1:41">
      <c r="A330" s="115"/>
      <c r="B330" s="116"/>
      <c r="C330" s="117"/>
      <c r="D330" s="116"/>
      <c r="E330" s="101"/>
      <c r="F330" s="101"/>
      <c r="G330" s="101"/>
      <c r="H330" s="101"/>
      <c r="I330" s="101"/>
      <c r="J330" s="101"/>
      <c r="K330" s="101"/>
      <c r="L330" s="101"/>
      <c r="M330" s="101"/>
      <c r="N330" s="101"/>
      <c r="O330" s="101"/>
      <c r="P330" s="101"/>
      <c r="Q330" s="101"/>
      <c r="R330" s="101"/>
      <c r="S330" s="101"/>
      <c r="T330" s="101"/>
      <c r="U330" s="101"/>
      <c r="V330" s="101"/>
      <c r="W330" s="101"/>
      <c r="X330" s="101"/>
      <c r="Y330" s="101"/>
      <c r="Z330" s="101"/>
      <c r="AA330" s="101"/>
      <c r="AB330" s="101"/>
      <c r="AC330" s="101"/>
      <c r="AD330" s="101"/>
      <c r="AE330" s="101"/>
      <c r="AF330" s="101"/>
      <c r="AG330" s="101"/>
      <c r="AH330" s="101"/>
      <c r="AI330" s="101"/>
      <c r="AJ330" s="101"/>
      <c r="AK330" s="101"/>
      <c r="AL330" s="101"/>
      <c r="AM330" s="101"/>
      <c r="AN330" s="101"/>
      <c r="AO330" s="101"/>
    </row>
    <row r="331" spans="1:41">
      <c r="A331" s="115"/>
      <c r="B331" s="116"/>
      <c r="C331" s="117"/>
      <c r="D331" s="116"/>
      <c r="E331" s="101"/>
      <c r="F331" s="101"/>
      <c r="G331" s="101"/>
      <c r="H331" s="101"/>
      <c r="I331" s="101"/>
      <c r="J331" s="101"/>
      <c r="K331" s="101"/>
      <c r="L331" s="101"/>
      <c r="M331" s="101"/>
      <c r="N331" s="101"/>
      <c r="O331" s="101"/>
      <c r="P331" s="101"/>
      <c r="Q331" s="101"/>
      <c r="R331" s="101"/>
      <c r="S331" s="101"/>
      <c r="T331" s="101"/>
      <c r="U331" s="101"/>
      <c r="V331" s="101"/>
      <c r="W331" s="101"/>
      <c r="X331" s="101"/>
      <c r="Y331" s="101"/>
      <c r="Z331" s="101"/>
      <c r="AA331" s="101"/>
      <c r="AB331" s="101"/>
      <c r="AC331" s="101"/>
      <c r="AD331" s="101"/>
      <c r="AE331" s="101"/>
      <c r="AF331" s="101"/>
      <c r="AG331" s="101"/>
      <c r="AH331" s="101"/>
      <c r="AI331" s="101"/>
      <c r="AJ331" s="101"/>
      <c r="AK331" s="101"/>
      <c r="AL331" s="101"/>
      <c r="AM331" s="101"/>
      <c r="AN331" s="101"/>
      <c r="AO331" s="101"/>
    </row>
    <row r="332" spans="1:41">
      <c r="A332" s="115"/>
      <c r="B332" s="116"/>
      <c r="C332" s="117"/>
      <c r="D332" s="116"/>
      <c r="E332" s="101"/>
      <c r="F332" s="101"/>
      <c r="G332" s="101"/>
      <c r="H332" s="101"/>
      <c r="I332" s="101"/>
      <c r="J332" s="101"/>
      <c r="K332" s="101"/>
      <c r="L332" s="101"/>
      <c r="M332" s="101"/>
      <c r="N332" s="101"/>
      <c r="O332" s="101"/>
      <c r="P332" s="101"/>
      <c r="Q332" s="101"/>
      <c r="R332" s="101"/>
      <c r="S332" s="101"/>
      <c r="T332" s="101"/>
      <c r="U332" s="101"/>
      <c r="V332" s="101"/>
      <c r="W332" s="101"/>
      <c r="X332" s="101"/>
      <c r="Y332" s="101"/>
      <c r="Z332" s="101"/>
      <c r="AA332" s="101"/>
      <c r="AB332" s="101"/>
      <c r="AC332" s="101"/>
      <c r="AD332" s="101"/>
      <c r="AE332" s="101"/>
      <c r="AF332" s="101"/>
      <c r="AG332" s="101"/>
      <c r="AH332" s="101"/>
      <c r="AI332" s="101"/>
      <c r="AJ332" s="101"/>
      <c r="AK332" s="101"/>
      <c r="AL332" s="101"/>
      <c r="AM332" s="101"/>
      <c r="AN332" s="101"/>
      <c r="AO332" s="101"/>
    </row>
    <row r="333" spans="1:41">
      <c r="A333" s="115"/>
      <c r="B333" s="116"/>
      <c r="C333" s="117"/>
      <c r="D333" s="116"/>
      <c r="E333" s="101"/>
      <c r="F333" s="101"/>
      <c r="G333" s="101"/>
      <c r="H333" s="101"/>
      <c r="I333" s="101"/>
      <c r="J333" s="101"/>
      <c r="K333" s="101"/>
      <c r="L333" s="101"/>
      <c r="M333" s="101"/>
      <c r="N333" s="101"/>
      <c r="O333" s="101"/>
      <c r="P333" s="101"/>
      <c r="Q333" s="101"/>
      <c r="R333" s="101"/>
      <c r="S333" s="101"/>
      <c r="T333" s="101"/>
      <c r="U333" s="101"/>
      <c r="V333" s="101"/>
      <c r="W333" s="101"/>
      <c r="X333" s="101"/>
      <c r="Y333" s="101"/>
      <c r="Z333" s="101"/>
      <c r="AA333" s="101"/>
      <c r="AB333" s="101"/>
      <c r="AC333" s="101"/>
      <c r="AD333" s="101"/>
      <c r="AE333" s="101"/>
      <c r="AF333" s="101"/>
      <c r="AG333" s="101"/>
      <c r="AH333" s="101"/>
      <c r="AI333" s="101"/>
      <c r="AJ333" s="101"/>
      <c r="AK333" s="101"/>
      <c r="AL333" s="101"/>
      <c r="AM333" s="101"/>
      <c r="AN333" s="101"/>
      <c r="AO333" s="101"/>
    </row>
    <row r="334" spans="1:41">
      <c r="A334" s="115"/>
      <c r="B334" s="116"/>
      <c r="C334" s="117"/>
      <c r="D334" s="116"/>
      <c r="E334" s="101"/>
      <c r="F334" s="101"/>
      <c r="G334" s="101"/>
      <c r="H334" s="101"/>
      <c r="I334" s="101"/>
      <c r="J334" s="101"/>
      <c r="K334" s="101"/>
      <c r="L334" s="101"/>
      <c r="M334" s="101"/>
      <c r="N334" s="101"/>
      <c r="O334" s="101"/>
      <c r="P334" s="101"/>
      <c r="Q334" s="101"/>
      <c r="R334" s="101"/>
      <c r="S334" s="101"/>
      <c r="T334" s="101"/>
      <c r="U334" s="101"/>
      <c r="V334" s="101"/>
      <c r="W334" s="101"/>
      <c r="X334" s="101"/>
      <c r="Y334" s="101"/>
      <c r="Z334" s="101"/>
      <c r="AA334" s="101"/>
      <c r="AB334" s="101"/>
      <c r="AC334" s="101"/>
      <c r="AD334" s="101"/>
      <c r="AE334" s="101"/>
      <c r="AF334" s="101"/>
      <c r="AG334" s="101"/>
      <c r="AH334" s="101"/>
      <c r="AI334" s="101"/>
      <c r="AJ334" s="101"/>
      <c r="AK334" s="101"/>
      <c r="AL334" s="101"/>
      <c r="AM334" s="101"/>
      <c r="AN334" s="101"/>
      <c r="AO334" s="101"/>
    </row>
    <row r="335" spans="1:41">
      <c r="A335" s="115"/>
      <c r="B335" s="116"/>
      <c r="C335" s="117"/>
      <c r="D335" s="116"/>
      <c r="E335" s="101"/>
      <c r="F335" s="101"/>
      <c r="G335" s="101"/>
      <c r="H335" s="101"/>
      <c r="I335" s="101"/>
      <c r="J335" s="101"/>
      <c r="K335" s="101"/>
      <c r="L335" s="101"/>
      <c r="M335" s="101"/>
      <c r="N335" s="101"/>
      <c r="O335" s="101"/>
      <c r="P335" s="101"/>
      <c r="Q335" s="101"/>
      <c r="R335" s="101"/>
      <c r="S335" s="101"/>
      <c r="T335" s="101"/>
      <c r="U335" s="101"/>
      <c r="V335" s="101"/>
      <c r="W335" s="101"/>
      <c r="X335" s="101"/>
      <c r="Y335" s="101"/>
      <c r="Z335" s="101"/>
      <c r="AA335" s="101"/>
      <c r="AB335" s="101"/>
      <c r="AC335" s="101"/>
      <c r="AD335" s="101"/>
      <c r="AE335" s="101"/>
      <c r="AF335" s="101"/>
      <c r="AG335" s="101"/>
      <c r="AH335" s="101"/>
      <c r="AI335" s="101"/>
      <c r="AJ335" s="101"/>
      <c r="AK335" s="101"/>
      <c r="AL335" s="101"/>
      <c r="AM335" s="101"/>
      <c r="AN335" s="101"/>
      <c r="AO335" s="101"/>
    </row>
    <row r="336" spans="1:41">
      <c r="A336" s="115"/>
      <c r="B336" s="116"/>
      <c r="C336" s="117"/>
      <c r="D336" s="116"/>
      <c r="E336" s="101"/>
      <c r="F336" s="101"/>
      <c r="G336" s="101"/>
      <c r="H336" s="101"/>
      <c r="I336" s="101"/>
      <c r="J336" s="101"/>
      <c r="K336" s="101"/>
      <c r="L336" s="101"/>
      <c r="M336" s="101"/>
      <c r="N336" s="101"/>
      <c r="O336" s="101"/>
      <c r="P336" s="101"/>
      <c r="Q336" s="101"/>
      <c r="R336" s="101"/>
      <c r="S336" s="101"/>
      <c r="T336" s="101"/>
      <c r="U336" s="101"/>
      <c r="V336" s="101"/>
      <c r="W336" s="101"/>
      <c r="X336" s="101"/>
      <c r="Y336" s="101"/>
      <c r="Z336" s="101"/>
      <c r="AA336" s="101"/>
      <c r="AB336" s="101"/>
      <c r="AC336" s="101"/>
      <c r="AD336" s="101"/>
      <c r="AE336" s="101"/>
      <c r="AF336" s="101"/>
      <c r="AG336" s="101"/>
      <c r="AH336" s="101"/>
      <c r="AI336" s="101"/>
      <c r="AJ336" s="101"/>
      <c r="AK336" s="101"/>
      <c r="AL336" s="101"/>
      <c r="AM336" s="101"/>
      <c r="AN336" s="101"/>
      <c r="AO336" s="101"/>
    </row>
    <row r="337" spans="1:41">
      <c r="A337" s="115"/>
      <c r="B337" s="116"/>
      <c r="C337" s="117"/>
      <c r="D337" s="116"/>
      <c r="E337" s="101"/>
      <c r="F337" s="101"/>
      <c r="G337" s="101"/>
      <c r="H337" s="101"/>
      <c r="I337" s="101"/>
      <c r="J337" s="101"/>
      <c r="K337" s="101"/>
      <c r="L337" s="101"/>
      <c r="M337" s="101"/>
      <c r="N337" s="101"/>
      <c r="O337" s="101"/>
      <c r="P337" s="101"/>
      <c r="Q337" s="101"/>
      <c r="R337" s="101"/>
      <c r="S337" s="101"/>
      <c r="T337" s="101"/>
      <c r="U337" s="101"/>
      <c r="V337" s="101"/>
      <c r="W337" s="101"/>
      <c r="X337" s="101"/>
      <c r="Y337" s="101"/>
      <c r="Z337" s="101"/>
      <c r="AA337" s="101"/>
      <c r="AB337" s="101"/>
      <c r="AC337" s="101"/>
      <c r="AD337" s="101"/>
      <c r="AE337" s="101"/>
      <c r="AF337" s="101"/>
      <c r="AG337" s="101"/>
      <c r="AH337" s="101"/>
      <c r="AI337" s="101"/>
      <c r="AJ337" s="101"/>
      <c r="AK337" s="101"/>
      <c r="AL337" s="101"/>
      <c r="AM337" s="101"/>
      <c r="AN337" s="101"/>
      <c r="AO337" s="101"/>
    </row>
    <row r="338" spans="1:41">
      <c r="A338" s="115"/>
      <c r="B338" s="116"/>
      <c r="C338" s="117"/>
      <c r="D338" s="116"/>
      <c r="E338" s="101"/>
      <c r="F338" s="101"/>
      <c r="G338" s="101"/>
      <c r="H338" s="101"/>
      <c r="I338" s="101"/>
      <c r="J338" s="101"/>
      <c r="K338" s="101"/>
      <c r="L338" s="101"/>
      <c r="M338" s="101"/>
      <c r="N338" s="101"/>
      <c r="O338" s="101"/>
      <c r="P338" s="101"/>
      <c r="Q338" s="101"/>
      <c r="R338" s="101"/>
      <c r="S338" s="101"/>
      <c r="T338" s="101"/>
      <c r="U338" s="101"/>
      <c r="V338" s="101"/>
      <c r="W338" s="101"/>
      <c r="X338" s="101"/>
      <c r="Y338" s="101"/>
      <c r="Z338" s="101"/>
      <c r="AA338" s="101"/>
      <c r="AB338" s="101"/>
      <c r="AC338" s="101"/>
      <c r="AD338" s="101"/>
      <c r="AE338" s="101"/>
      <c r="AF338" s="101"/>
      <c r="AG338" s="101"/>
      <c r="AH338" s="101"/>
      <c r="AI338" s="101"/>
      <c r="AJ338" s="101"/>
      <c r="AK338" s="101"/>
      <c r="AL338" s="101"/>
      <c r="AM338" s="101"/>
      <c r="AN338" s="101"/>
      <c r="AO338" s="101"/>
    </row>
    <row r="339" spans="1:41">
      <c r="A339" s="115"/>
      <c r="B339" s="116"/>
      <c r="C339" s="117"/>
      <c r="D339" s="116"/>
      <c r="E339" s="101"/>
      <c r="F339" s="101"/>
      <c r="G339" s="101"/>
      <c r="H339" s="101"/>
      <c r="I339" s="101"/>
      <c r="J339" s="101"/>
      <c r="K339" s="101"/>
      <c r="L339" s="101"/>
      <c r="M339" s="101"/>
      <c r="N339" s="101"/>
      <c r="O339" s="101"/>
      <c r="P339" s="101"/>
      <c r="Q339" s="101"/>
      <c r="R339" s="101"/>
      <c r="S339" s="101"/>
      <c r="T339" s="101"/>
      <c r="U339" s="101"/>
      <c r="V339" s="101"/>
      <c r="W339" s="101"/>
      <c r="X339" s="101"/>
      <c r="Y339" s="101"/>
      <c r="Z339" s="101"/>
      <c r="AA339" s="101"/>
      <c r="AB339" s="101"/>
      <c r="AC339" s="101"/>
      <c r="AD339" s="101"/>
      <c r="AE339" s="101"/>
      <c r="AF339" s="101"/>
      <c r="AG339" s="101"/>
      <c r="AH339" s="101"/>
      <c r="AI339" s="101"/>
      <c r="AJ339" s="101"/>
      <c r="AK339" s="101"/>
      <c r="AL339" s="101"/>
      <c r="AM339" s="101"/>
      <c r="AN339" s="101"/>
      <c r="AO339" s="101"/>
    </row>
    <row r="340" spans="1:41">
      <c r="A340" s="115"/>
      <c r="B340" s="116"/>
      <c r="C340" s="117"/>
      <c r="D340" s="116"/>
      <c r="E340" s="101"/>
      <c r="F340" s="101"/>
      <c r="G340" s="101"/>
      <c r="H340" s="101"/>
      <c r="I340" s="101"/>
      <c r="J340" s="101"/>
      <c r="K340" s="101"/>
      <c r="L340" s="101"/>
      <c r="M340" s="101"/>
      <c r="N340" s="101"/>
      <c r="O340" s="101"/>
      <c r="P340" s="101"/>
      <c r="Q340" s="101"/>
      <c r="R340" s="101"/>
      <c r="S340" s="101"/>
      <c r="T340" s="101"/>
      <c r="U340" s="101"/>
      <c r="V340" s="101"/>
      <c r="W340" s="101"/>
      <c r="X340" s="101"/>
      <c r="Y340" s="101"/>
      <c r="Z340" s="101"/>
      <c r="AA340" s="101"/>
      <c r="AB340" s="101"/>
      <c r="AC340" s="101"/>
      <c r="AD340" s="101"/>
      <c r="AE340" s="101"/>
      <c r="AF340" s="101"/>
      <c r="AG340" s="101"/>
      <c r="AH340" s="101"/>
      <c r="AI340" s="101"/>
      <c r="AJ340" s="101"/>
      <c r="AK340" s="101"/>
      <c r="AL340" s="101"/>
      <c r="AM340" s="101"/>
      <c r="AN340" s="101"/>
      <c r="AO340" s="101"/>
    </row>
    <row r="341" spans="1:41">
      <c r="A341" s="115"/>
      <c r="B341" s="116"/>
      <c r="C341" s="117"/>
      <c r="D341" s="116"/>
      <c r="E341" s="101"/>
      <c r="F341" s="101"/>
      <c r="G341" s="101"/>
      <c r="H341" s="101"/>
      <c r="I341" s="101"/>
      <c r="J341" s="101"/>
      <c r="K341" s="101"/>
      <c r="L341" s="101"/>
      <c r="M341" s="101"/>
      <c r="N341" s="101"/>
      <c r="O341" s="101"/>
      <c r="P341" s="101"/>
      <c r="Q341" s="101"/>
      <c r="R341" s="101"/>
      <c r="S341" s="101"/>
      <c r="T341" s="101"/>
      <c r="U341" s="101"/>
      <c r="V341" s="101"/>
      <c r="W341" s="101"/>
      <c r="X341" s="101"/>
      <c r="Y341" s="101"/>
      <c r="Z341" s="101"/>
      <c r="AA341" s="101"/>
      <c r="AB341" s="101"/>
      <c r="AC341" s="101"/>
      <c r="AD341" s="101"/>
      <c r="AE341" s="101"/>
      <c r="AF341" s="101"/>
      <c r="AG341" s="101"/>
      <c r="AH341" s="101"/>
      <c r="AI341" s="101"/>
      <c r="AJ341" s="101"/>
      <c r="AK341" s="101"/>
      <c r="AL341" s="101"/>
      <c r="AM341" s="101"/>
      <c r="AN341" s="101"/>
      <c r="AO341" s="101"/>
    </row>
    <row r="342" spans="1:41">
      <c r="A342" s="115"/>
      <c r="B342" s="116"/>
      <c r="C342" s="117"/>
      <c r="D342" s="116"/>
      <c r="E342" s="101"/>
      <c r="F342" s="101"/>
      <c r="G342" s="101"/>
      <c r="H342" s="101"/>
      <c r="I342" s="101"/>
      <c r="J342" s="101"/>
      <c r="K342" s="101"/>
      <c r="L342" s="101"/>
      <c r="M342" s="101"/>
      <c r="N342" s="101"/>
      <c r="O342" s="101"/>
      <c r="P342" s="101"/>
      <c r="Q342" s="101"/>
      <c r="R342" s="101"/>
      <c r="S342" s="101"/>
      <c r="T342" s="101"/>
      <c r="U342" s="101"/>
      <c r="V342" s="101"/>
      <c r="W342" s="101"/>
      <c r="X342" s="101"/>
      <c r="Y342" s="101"/>
      <c r="Z342" s="101"/>
      <c r="AA342" s="101"/>
      <c r="AB342" s="101"/>
      <c r="AC342" s="101"/>
      <c r="AD342" s="101"/>
      <c r="AE342" s="101"/>
      <c r="AF342" s="101"/>
      <c r="AG342" s="101"/>
      <c r="AH342" s="101"/>
      <c r="AI342" s="101"/>
      <c r="AJ342" s="101"/>
      <c r="AK342" s="101"/>
      <c r="AL342" s="101"/>
      <c r="AM342" s="101"/>
      <c r="AN342" s="101"/>
      <c r="AO342" s="101"/>
    </row>
    <row r="343" spans="1:41">
      <c r="A343" s="115"/>
      <c r="B343" s="116"/>
      <c r="C343" s="117"/>
      <c r="D343" s="116"/>
      <c r="E343" s="101"/>
      <c r="F343" s="101"/>
      <c r="G343" s="101"/>
      <c r="H343" s="101"/>
      <c r="I343" s="101"/>
      <c r="J343" s="101"/>
      <c r="K343" s="101"/>
      <c r="L343" s="101"/>
      <c r="M343" s="101"/>
      <c r="N343" s="101"/>
      <c r="O343" s="101"/>
      <c r="P343" s="101"/>
      <c r="Q343" s="101"/>
      <c r="R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row>
    <row r="344" spans="1:41">
      <c r="A344" s="115"/>
      <c r="B344" s="116"/>
      <c r="C344" s="117"/>
      <c r="D344" s="116"/>
      <c r="E344" s="101"/>
      <c r="F344" s="101"/>
      <c r="G344" s="101"/>
      <c r="H344" s="101"/>
      <c r="I344" s="101"/>
      <c r="J344" s="101"/>
      <c r="K344" s="101"/>
      <c r="L344" s="101"/>
      <c r="M344" s="101"/>
      <c r="N344" s="101"/>
      <c r="O344" s="101"/>
      <c r="P344" s="101"/>
      <c r="Q344" s="101"/>
      <c r="R344" s="101"/>
      <c r="S344" s="101"/>
      <c r="T344" s="101"/>
      <c r="U344" s="101"/>
      <c r="V344" s="101"/>
      <c r="W344" s="101"/>
      <c r="X344" s="101"/>
      <c r="Y344" s="101"/>
      <c r="Z344" s="101"/>
      <c r="AA344" s="101"/>
      <c r="AB344" s="101"/>
      <c r="AC344" s="101"/>
      <c r="AD344" s="101"/>
      <c r="AE344" s="101"/>
      <c r="AF344" s="101"/>
      <c r="AG344" s="101"/>
      <c r="AH344" s="101"/>
      <c r="AI344" s="101"/>
      <c r="AJ344" s="101"/>
      <c r="AK344" s="101"/>
      <c r="AL344" s="101"/>
      <c r="AM344" s="101"/>
      <c r="AN344" s="101"/>
      <c r="AO344" s="101"/>
    </row>
    <row r="345" spans="1:41">
      <c r="A345" s="115"/>
      <c r="B345" s="116"/>
      <c r="C345" s="117"/>
      <c r="D345" s="116"/>
      <c r="E345" s="101"/>
      <c r="F345" s="101"/>
      <c r="G345" s="101"/>
      <c r="H345" s="101"/>
      <c r="I345" s="101"/>
      <c r="J345" s="101"/>
      <c r="K345" s="101"/>
      <c r="L345" s="101"/>
      <c r="M345" s="101"/>
      <c r="N345" s="101"/>
      <c r="O345" s="101"/>
      <c r="P345" s="101"/>
      <c r="Q345" s="101"/>
      <c r="R345" s="101"/>
      <c r="S345" s="101"/>
      <c r="T345" s="101"/>
      <c r="U345" s="101"/>
      <c r="V345" s="101"/>
      <c r="W345" s="101"/>
      <c r="X345" s="101"/>
      <c r="Y345" s="101"/>
      <c r="Z345" s="101"/>
      <c r="AA345" s="101"/>
      <c r="AB345" s="101"/>
      <c r="AC345" s="101"/>
      <c r="AD345" s="101"/>
      <c r="AE345" s="101"/>
      <c r="AF345" s="101"/>
      <c r="AG345" s="101"/>
      <c r="AH345" s="101"/>
      <c r="AI345" s="101"/>
      <c r="AJ345" s="101"/>
      <c r="AK345" s="101"/>
      <c r="AL345" s="101"/>
      <c r="AM345" s="101"/>
      <c r="AN345" s="101"/>
      <c r="AO345" s="101"/>
    </row>
    <row r="346" spans="1:41">
      <c r="A346" s="115"/>
      <c r="B346" s="116"/>
      <c r="C346" s="117"/>
      <c r="D346" s="116"/>
      <c r="E346" s="101"/>
      <c r="F346" s="101"/>
      <c r="G346" s="101"/>
      <c r="H346" s="101"/>
      <c r="I346" s="101"/>
      <c r="J346" s="101"/>
      <c r="K346" s="101"/>
      <c r="L346" s="101"/>
      <c r="M346" s="101"/>
      <c r="N346" s="101"/>
      <c r="O346" s="101"/>
      <c r="P346" s="101"/>
      <c r="Q346" s="101"/>
      <c r="R346" s="101"/>
      <c r="S346" s="101"/>
      <c r="T346" s="101"/>
      <c r="U346" s="101"/>
      <c r="V346" s="101"/>
      <c r="W346" s="101"/>
      <c r="X346" s="101"/>
      <c r="Y346" s="101"/>
      <c r="Z346" s="101"/>
      <c r="AA346" s="101"/>
      <c r="AB346" s="101"/>
      <c r="AC346" s="101"/>
      <c r="AD346" s="101"/>
      <c r="AE346" s="101"/>
      <c r="AF346" s="101"/>
      <c r="AG346" s="101"/>
      <c r="AH346" s="101"/>
      <c r="AI346" s="101"/>
      <c r="AJ346" s="101"/>
      <c r="AK346" s="101"/>
      <c r="AL346" s="101"/>
      <c r="AM346" s="101"/>
      <c r="AN346" s="101"/>
      <c r="AO346" s="101"/>
    </row>
    <row r="347" spans="1:41">
      <c r="A347" s="115"/>
      <c r="B347" s="116"/>
      <c r="C347" s="117"/>
      <c r="D347" s="116"/>
      <c r="E347" s="101"/>
      <c r="F347" s="101"/>
      <c r="G347" s="101"/>
      <c r="H347" s="101"/>
      <c r="I347" s="101"/>
      <c r="J347" s="101"/>
      <c r="K347" s="101"/>
      <c r="L347" s="101"/>
      <c r="M347" s="101"/>
      <c r="N347" s="101"/>
      <c r="O347" s="101"/>
      <c r="P347" s="101"/>
      <c r="Q347" s="101"/>
      <c r="R347" s="101"/>
      <c r="S347" s="101"/>
      <c r="T347" s="101"/>
      <c r="U347" s="101"/>
      <c r="V347" s="101"/>
      <c r="W347" s="101"/>
      <c r="X347" s="101"/>
      <c r="Y347" s="101"/>
      <c r="Z347" s="101"/>
      <c r="AA347" s="101"/>
      <c r="AB347" s="101"/>
      <c r="AC347" s="101"/>
      <c r="AD347" s="101"/>
      <c r="AE347" s="101"/>
      <c r="AF347" s="101"/>
      <c r="AG347" s="101"/>
      <c r="AH347" s="101"/>
      <c r="AI347" s="101"/>
      <c r="AJ347" s="101"/>
      <c r="AK347" s="101"/>
      <c r="AL347" s="101"/>
      <c r="AM347" s="101"/>
      <c r="AN347" s="101"/>
      <c r="AO347" s="101"/>
    </row>
    <row r="348" spans="1:41">
      <c r="A348" s="115"/>
      <c r="B348" s="116"/>
      <c r="C348" s="117"/>
      <c r="D348" s="116"/>
      <c r="E348" s="101"/>
      <c r="F348" s="101"/>
      <c r="G348" s="101"/>
      <c r="H348" s="101"/>
      <c r="I348" s="101"/>
      <c r="J348" s="101"/>
      <c r="K348" s="101"/>
      <c r="L348" s="101"/>
      <c r="M348" s="101"/>
      <c r="N348" s="101"/>
      <c r="O348" s="101"/>
      <c r="P348" s="101"/>
      <c r="Q348" s="101"/>
      <c r="R348" s="101"/>
      <c r="S348" s="101"/>
      <c r="T348" s="101"/>
      <c r="U348" s="101"/>
      <c r="V348" s="101"/>
      <c r="W348" s="101"/>
      <c r="X348" s="101"/>
      <c r="Y348" s="101"/>
      <c r="Z348" s="101"/>
      <c r="AA348" s="101"/>
      <c r="AB348" s="101"/>
      <c r="AC348" s="101"/>
      <c r="AD348" s="101"/>
      <c r="AE348" s="101"/>
      <c r="AF348" s="101"/>
      <c r="AG348" s="101"/>
      <c r="AH348" s="101"/>
      <c r="AI348" s="101"/>
      <c r="AJ348" s="101"/>
      <c r="AK348" s="101"/>
      <c r="AL348" s="101"/>
      <c r="AM348" s="101"/>
      <c r="AN348" s="101"/>
      <c r="AO348" s="101"/>
    </row>
    <row r="349" spans="1:41">
      <c r="A349" s="115"/>
      <c r="B349" s="116"/>
      <c r="C349" s="117"/>
      <c r="D349" s="116"/>
      <c r="E349" s="101"/>
      <c r="F349" s="101"/>
      <c r="G349" s="101"/>
      <c r="H349" s="101"/>
      <c r="I349" s="101"/>
      <c r="J349" s="101"/>
      <c r="K349" s="101"/>
      <c r="L349" s="101"/>
      <c r="M349" s="101"/>
      <c r="N349" s="101"/>
      <c r="O349" s="101"/>
      <c r="P349" s="101"/>
      <c r="Q349" s="101"/>
      <c r="R349" s="101"/>
      <c r="S349" s="101"/>
      <c r="T349" s="101"/>
      <c r="U349" s="101"/>
      <c r="V349" s="101"/>
      <c r="W349" s="101"/>
      <c r="X349" s="101"/>
      <c r="Y349" s="101"/>
      <c r="Z349" s="101"/>
      <c r="AA349" s="101"/>
      <c r="AB349" s="101"/>
      <c r="AC349" s="101"/>
      <c r="AD349" s="101"/>
      <c r="AE349" s="101"/>
      <c r="AF349" s="101"/>
      <c r="AG349" s="101"/>
      <c r="AH349" s="101"/>
      <c r="AI349" s="101"/>
      <c r="AJ349" s="101"/>
      <c r="AK349" s="101"/>
      <c r="AL349" s="101"/>
      <c r="AM349" s="101"/>
      <c r="AN349" s="101"/>
      <c r="AO349" s="101"/>
    </row>
    <row r="350" spans="1:41">
      <c r="A350" s="115"/>
      <c r="B350" s="116"/>
      <c r="C350" s="117"/>
      <c r="D350" s="116"/>
      <c r="E350" s="101"/>
      <c r="F350" s="101"/>
      <c r="G350" s="101"/>
      <c r="H350" s="101"/>
      <c r="I350" s="101"/>
      <c r="J350" s="101"/>
      <c r="K350" s="101"/>
      <c r="L350" s="101"/>
      <c r="M350" s="101"/>
      <c r="N350" s="101"/>
      <c r="O350" s="101"/>
      <c r="P350" s="101"/>
      <c r="Q350" s="101"/>
      <c r="R350" s="101"/>
      <c r="S350" s="101"/>
      <c r="T350" s="101"/>
      <c r="U350" s="101"/>
      <c r="V350" s="101"/>
      <c r="W350" s="101"/>
      <c r="X350" s="101"/>
      <c r="Y350" s="101"/>
      <c r="Z350" s="101"/>
      <c r="AA350" s="101"/>
      <c r="AB350" s="101"/>
      <c r="AC350" s="101"/>
      <c r="AD350" s="101"/>
      <c r="AE350" s="101"/>
      <c r="AF350" s="101"/>
      <c r="AG350" s="101"/>
      <c r="AH350" s="101"/>
      <c r="AI350" s="101"/>
      <c r="AJ350" s="101"/>
      <c r="AK350" s="101"/>
      <c r="AL350" s="101"/>
      <c r="AM350" s="101"/>
      <c r="AN350" s="101"/>
      <c r="AO350" s="101"/>
    </row>
    <row r="351" spans="1:41">
      <c r="A351" s="115"/>
      <c r="B351" s="116"/>
      <c r="C351" s="117"/>
      <c r="D351" s="116"/>
      <c r="E351" s="101"/>
      <c r="F351" s="101"/>
      <c r="G351" s="101"/>
      <c r="H351" s="101"/>
      <c r="I351" s="101"/>
      <c r="J351" s="101"/>
      <c r="K351" s="101"/>
      <c r="L351" s="101"/>
      <c r="M351" s="101"/>
      <c r="N351" s="101"/>
      <c r="O351" s="101"/>
      <c r="P351" s="101"/>
      <c r="Q351" s="101"/>
      <c r="R351" s="101"/>
      <c r="S351" s="101"/>
      <c r="T351" s="101"/>
      <c r="U351" s="101"/>
      <c r="V351" s="101"/>
      <c r="W351" s="101"/>
      <c r="X351" s="101"/>
      <c r="Y351" s="101"/>
      <c r="Z351" s="101"/>
      <c r="AA351" s="101"/>
      <c r="AB351" s="101"/>
      <c r="AC351" s="101"/>
      <c r="AD351" s="101"/>
      <c r="AE351" s="101"/>
      <c r="AF351" s="101"/>
      <c r="AG351" s="101"/>
      <c r="AH351" s="101"/>
      <c r="AI351" s="101"/>
      <c r="AJ351" s="101"/>
      <c r="AK351" s="101"/>
      <c r="AL351" s="101"/>
      <c r="AM351" s="101"/>
      <c r="AN351" s="101"/>
      <c r="AO351" s="101"/>
    </row>
    <row r="352" spans="1:41">
      <c r="A352" s="115"/>
      <c r="B352" s="116"/>
      <c r="C352" s="117"/>
      <c r="D352" s="116"/>
      <c r="E352" s="101"/>
      <c r="F352" s="101"/>
      <c r="G352" s="101"/>
      <c r="H352" s="101"/>
      <c r="I352" s="101"/>
      <c r="J352" s="101"/>
      <c r="K352" s="101"/>
      <c r="L352" s="101"/>
      <c r="M352" s="101"/>
      <c r="N352" s="101"/>
      <c r="O352" s="101"/>
      <c r="P352" s="101"/>
      <c r="Q352" s="101"/>
      <c r="R352" s="101"/>
      <c r="S352" s="101"/>
      <c r="T352" s="101"/>
      <c r="U352" s="101"/>
      <c r="V352" s="101"/>
      <c r="W352" s="101"/>
      <c r="X352" s="101"/>
      <c r="Y352" s="101"/>
      <c r="Z352" s="101"/>
      <c r="AA352" s="101"/>
      <c r="AB352" s="101"/>
      <c r="AC352" s="101"/>
      <c r="AD352" s="101"/>
      <c r="AE352" s="101"/>
      <c r="AF352" s="101"/>
      <c r="AG352" s="101"/>
      <c r="AH352" s="101"/>
      <c r="AI352" s="101"/>
      <c r="AJ352" s="101"/>
      <c r="AK352" s="101"/>
      <c r="AL352" s="101"/>
      <c r="AM352" s="101"/>
      <c r="AN352" s="101"/>
      <c r="AO352" s="101"/>
    </row>
    <row r="353" spans="1:41">
      <c r="A353" s="115"/>
      <c r="B353" s="116"/>
      <c r="C353" s="117"/>
      <c r="D353" s="116"/>
      <c r="E353" s="101"/>
      <c r="F353" s="101"/>
      <c r="G353" s="101"/>
      <c r="H353" s="101"/>
      <c r="I353" s="101"/>
      <c r="J353" s="101"/>
      <c r="K353" s="101"/>
      <c r="L353" s="101"/>
      <c r="M353" s="101"/>
      <c r="N353" s="101"/>
      <c r="O353" s="101"/>
      <c r="P353" s="101"/>
      <c r="Q353" s="101"/>
      <c r="R353" s="101"/>
      <c r="S353" s="101"/>
      <c r="T353" s="101"/>
      <c r="U353" s="101"/>
      <c r="V353" s="101"/>
      <c r="W353" s="101"/>
      <c r="X353" s="101"/>
      <c r="Y353" s="101"/>
      <c r="Z353" s="101"/>
      <c r="AA353" s="101"/>
      <c r="AB353" s="101"/>
      <c r="AC353" s="101"/>
      <c r="AD353" s="101"/>
      <c r="AE353" s="101"/>
      <c r="AF353" s="101"/>
      <c r="AG353" s="101"/>
      <c r="AH353" s="101"/>
      <c r="AI353" s="101"/>
      <c r="AJ353" s="101"/>
      <c r="AK353" s="101"/>
      <c r="AL353" s="101"/>
      <c r="AM353" s="101"/>
      <c r="AN353" s="101"/>
      <c r="AO353" s="101"/>
    </row>
    <row r="354" spans="1:41">
      <c r="A354" s="115"/>
      <c r="B354" s="116"/>
      <c r="C354" s="117"/>
      <c r="D354" s="116"/>
      <c r="E354" s="101"/>
      <c r="F354" s="101"/>
      <c r="G354" s="101"/>
      <c r="H354" s="101"/>
      <c r="I354" s="101"/>
      <c r="J354" s="101"/>
      <c r="K354" s="101"/>
      <c r="L354" s="101"/>
      <c r="M354" s="101"/>
      <c r="N354" s="101"/>
      <c r="O354" s="101"/>
      <c r="P354" s="101"/>
      <c r="Q354" s="101"/>
      <c r="R354" s="101"/>
      <c r="S354" s="101"/>
      <c r="T354" s="101"/>
      <c r="U354" s="101"/>
      <c r="V354" s="101"/>
      <c r="W354" s="101"/>
      <c r="X354" s="101"/>
      <c r="Y354" s="101"/>
      <c r="Z354" s="101"/>
      <c r="AA354" s="101"/>
      <c r="AB354" s="101"/>
      <c r="AC354" s="101"/>
      <c r="AD354" s="101"/>
      <c r="AE354" s="101"/>
      <c r="AF354" s="101"/>
      <c r="AG354" s="101"/>
      <c r="AH354" s="101"/>
      <c r="AI354" s="101"/>
      <c r="AJ354" s="101"/>
      <c r="AK354" s="101"/>
      <c r="AL354" s="101"/>
      <c r="AM354" s="101"/>
      <c r="AN354" s="101"/>
      <c r="AO354" s="101"/>
    </row>
    <row r="355" spans="1:41">
      <c r="A355" s="115"/>
      <c r="B355" s="116"/>
      <c r="C355" s="117"/>
      <c r="D355" s="116"/>
      <c r="E355" s="101"/>
      <c r="F355" s="101"/>
      <c r="G355" s="101"/>
      <c r="H355" s="101"/>
      <c r="I355" s="101"/>
      <c r="J355" s="101"/>
      <c r="K355" s="101"/>
      <c r="L355" s="101"/>
      <c r="M355" s="101"/>
      <c r="N355" s="101"/>
      <c r="O355" s="101"/>
      <c r="P355" s="101"/>
      <c r="Q355" s="101"/>
      <c r="R355" s="101"/>
      <c r="S355" s="101"/>
      <c r="T355" s="101"/>
      <c r="U355" s="101"/>
      <c r="V355" s="101"/>
      <c r="W355" s="101"/>
      <c r="X355" s="101"/>
      <c r="Y355" s="101"/>
      <c r="Z355" s="101"/>
      <c r="AA355" s="101"/>
      <c r="AB355" s="101"/>
      <c r="AC355" s="101"/>
      <c r="AD355" s="101"/>
      <c r="AE355" s="101"/>
      <c r="AF355" s="101"/>
      <c r="AG355" s="101"/>
      <c r="AH355" s="101"/>
      <c r="AI355" s="101"/>
      <c r="AJ355" s="101"/>
      <c r="AK355" s="101"/>
      <c r="AL355" s="101"/>
      <c r="AM355" s="101"/>
      <c r="AN355" s="101"/>
      <c r="AO355" s="101"/>
    </row>
    <row r="356" spans="1:41">
      <c r="A356" s="115"/>
      <c r="B356" s="116"/>
      <c r="C356" s="117"/>
      <c r="D356" s="116"/>
      <c r="E356" s="101"/>
      <c r="F356" s="101"/>
      <c r="G356" s="101"/>
      <c r="H356" s="101"/>
      <c r="I356" s="101"/>
      <c r="J356" s="101"/>
      <c r="K356" s="101"/>
      <c r="L356" s="101"/>
      <c r="M356" s="101"/>
      <c r="N356" s="101"/>
      <c r="O356" s="101"/>
      <c r="P356" s="101"/>
      <c r="Q356" s="101"/>
      <c r="R356" s="101"/>
      <c r="S356" s="101"/>
      <c r="T356" s="101"/>
      <c r="U356" s="101"/>
      <c r="V356" s="101"/>
      <c r="W356" s="101"/>
      <c r="X356" s="101"/>
      <c r="Y356" s="101"/>
      <c r="Z356" s="101"/>
      <c r="AA356" s="101"/>
      <c r="AB356" s="101"/>
      <c r="AC356" s="101"/>
      <c r="AD356" s="101"/>
      <c r="AE356" s="101"/>
      <c r="AF356" s="101"/>
      <c r="AG356" s="101"/>
      <c r="AH356" s="101"/>
      <c r="AI356" s="101"/>
      <c r="AJ356" s="101"/>
      <c r="AK356" s="101"/>
      <c r="AL356" s="101"/>
      <c r="AM356" s="101"/>
      <c r="AN356" s="101"/>
      <c r="AO356" s="101"/>
    </row>
    <row r="357" spans="1:41">
      <c r="A357" s="115"/>
      <c r="B357" s="116"/>
      <c r="C357" s="117"/>
      <c r="D357" s="116"/>
      <c r="E357" s="101"/>
      <c r="F357" s="101"/>
      <c r="G357" s="101"/>
      <c r="H357" s="101"/>
      <c r="I357" s="101"/>
      <c r="J357" s="101"/>
      <c r="K357" s="101"/>
      <c r="L357" s="101"/>
      <c r="M357" s="101"/>
      <c r="N357" s="101"/>
      <c r="O357" s="101"/>
      <c r="P357" s="101"/>
      <c r="Q357" s="101"/>
      <c r="R357" s="101"/>
      <c r="S357" s="101"/>
      <c r="T357" s="101"/>
      <c r="U357" s="101"/>
      <c r="V357" s="101"/>
      <c r="W357" s="101"/>
      <c r="X357" s="101"/>
      <c r="Y357" s="101"/>
      <c r="Z357" s="101"/>
      <c r="AA357" s="101"/>
      <c r="AB357" s="101"/>
      <c r="AC357" s="101"/>
      <c r="AD357" s="101"/>
      <c r="AE357" s="101"/>
      <c r="AF357" s="101"/>
      <c r="AG357" s="101"/>
      <c r="AH357" s="101"/>
      <c r="AI357" s="101"/>
      <c r="AJ357" s="101"/>
      <c r="AK357" s="101"/>
      <c r="AL357" s="101"/>
      <c r="AM357" s="101"/>
      <c r="AN357" s="101"/>
      <c r="AO357" s="101"/>
    </row>
    <row r="358" spans="1:41">
      <c r="A358" s="115"/>
      <c r="B358" s="116"/>
      <c r="C358" s="117"/>
      <c r="D358" s="116"/>
      <c r="E358" s="101"/>
      <c r="F358" s="101"/>
      <c r="G358" s="101"/>
      <c r="H358" s="101"/>
      <c r="I358" s="101"/>
      <c r="J358" s="101"/>
      <c r="K358" s="101"/>
      <c r="L358" s="101"/>
      <c r="M358" s="101"/>
      <c r="N358" s="101"/>
      <c r="O358" s="101"/>
      <c r="P358" s="101"/>
      <c r="Q358" s="101"/>
      <c r="R358" s="101"/>
      <c r="S358" s="101"/>
      <c r="T358" s="101"/>
      <c r="U358" s="101"/>
      <c r="V358" s="101"/>
      <c r="W358" s="101"/>
      <c r="X358" s="101"/>
      <c r="Y358" s="101"/>
      <c r="Z358" s="101"/>
      <c r="AA358" s="101"/>
      <c r="AB358" s="101"/>
      <c r="AC358" s="101"/>
      <c r="AD358" s="101"/>
      <c r="AE358" s="101"/>
      <c r="AF358" s="101"/>
      <c r="AG358" s="101"/>
      <c r="AH358" s="101"/>
      <c r="AI358" s="101"/>
      <c r="AJ358" s="101"/>
      <c r="AK358" s="101"/>
      <c r="AL358" s="101"/>
      <c r="AM358" s="101"/>
      <c r="AN358" s="101"/>
      <c r="AO358" s="101"/>
    </row>
    <row r="359" spans="1:41">
      <c r="A359" s="115"/>
      <c r="B359" s="116"/>
      <c r="C359" s="117"/>
      <c r="D359" s="116"/>
      <c r="E359" s="101"/>
      <c r="F359" s="101"/>
      <c r="G359" s="101"/>
      <c r="H359" s="101"/>
      <c r="I359" s="101"/>
      <c r="J359" s="101"/>
      <c r="K359" s="101"/>
      <c r="L359" s="101"/>
      <c r="M359" s="101"/>
      <c r="N359" s="101"/>
      <c r="O359" s="101"/>
      <c r="P359" s="101"/>
      <c r="Q359" s="101"/>
      <c r="R359" s="101"/>
      <c r="S359" s="101"/>
      <c r="T359" s="101"/>
      <c r="U359" s="101"/>
      <c r="V359" s="101"/>
      <c r="W359" s="101"/>
      <c r="X359" s="101"/>
      <c r="Y359" s="101"/>
      <c r="Z359" s="101"/>
      <c r="AA359" s="101"/>
      <c r="AB359" s="101"/>
      <c r="AC359" s="101"/>
      <c r="AD359" s="101"/>
      <c r="AE359" s="101"/>
      <c r="AF359" s="101"/>
      <c r="AG359" s="101"/>
      <c r="AH359" s="101"/>
      <c r="AI359" s="101"/>
      <c r="AJ359" s="101"/>
      <c r="AK359" s="101"/>
      <c r="AL359" s="101"/>
      <c r="AM359" s="101"/>
      <c r="AN359" s="101"/>
      <c r="AO359" s="101"/>
    </row>
    <row r="360" spans="1:41">
      <c r="A360" s="115"/>
      <c r="B360" s="116"/>
      <c r="C360" s="117"/>
      <c r="D360" s="116"/>
      <c r="E360" s="101"/>
      <c r="F360" s="101"/>
      <c r="G360" s="101"/>
      <c r="H360" s="101"/>
      <c r="I360" s="101"/>
      <c r="J360" s="101"/>
      <c r="K360" s="101"/>
      <c r="L360" s="101"/>
      <c r="M360" s="101"/>
      <c r="N360" s="101"/>
      <c r="O360" s="101"/>
      <c r="P360" s="101"/>
      <c r="Q360" s="101"/>
      <c r="R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row>
    <row r="361" spans="1:41">
      <c r="A361" s="115"/>
      <c r="B361" s="116"/>
      <c r="C361" s="117"/>
      <c r="D361" s="116"/>
      <c r="E361" s="101"/>
      <c r="F361" s="101"/>
      <c r="G361" s="101"/>
      <c r="H361" s="101"/>
      <c r="I361" s="101"/>
      <c r="J361" s="101"/>
      <c r="K361" s="101"/>
      <c r="L361" s="101"/>
      <c r="M361" s="101"/>
      <c r="N361" s="101"/>
      <c r="O361" s="101"/>
      <c r="P361" s="101"/>
      <c r="Q361" s="101"/>
      <c r="R361" s="101"/>
      <c r="S361" s="101"/>
      <c r="T361" s="101"/>
      <c r="U361" s="101"/>
      <c r="V361" s="101"/>
      <c r="W361" s="101"/>
      <c r="X361" s="101"/>
      <c r="Y361" s="101"/>
      <c r="Z361" s="101"/>
      <c r="AA361" s="101"/>
      <c r="AB361" s="101"/>
      <c r="AC361" s="101"/>
      <c r="AD361" s="101"/>
      <c r="AE361" s="101"/>
      <c r="AF361" s="101"/>
      <c r="AG361" s="101"/>
      <c r="AH361" s="101"/>
      <c r="AI361" s="101"/>
      <c r="AJ361" s="101"/>
      <c r="AK361" s="101"/>
      <c r="AL361" s="101"/>
      <c r="AM361" s="101"/>
      <c r="AN361" s="101"/>
      <c r="AO361" s="101"/>
    </row>
    <row r="362" spans="1:41">
      <c r="A362" s="115"/>
      <c r="B362" s="116"/>
      <c r="C362" s="117"/>
      <c r="D362" s="116"/>
      <c r="E362" s="101"/>
      <c r="F362" s="101"/>
      <c r="G362" s="101"/>
      <c r="H362" s="101"/>
      <c r="I362" s="101"/>
      <c r="J362" s="101"/>
      <c r="K362" s="101"/>
      <c r="L362" s="101"/>
      <c r="M362" s="101"/>
      <c r="N362" s="101"/>
      <c r="O362" s="101"/>
      <c r="P362" s="101"/>
      <c r="Q362" s="101"/>
      <c r="R362" s="101"/>
      <c r="S362" s="101"/>
      <c r="T362" s="101"/>
      <c r="U362" s="101"/>
      <c r="V362" s="101"/>
      <c r="W362" s="101"/>
      <c r="X362" s="101"/>
      <c r="Y362" s="101"/>
      <c r="Z362" s="101"/>
      <c r="AA362" s="101"/>
      <c r="AB362" s="101"/>
      <c r="AC362" s="101"/>
      <c r="AD362" s="101"/>
      <c r="AE362" s="101"/>
      <c r="AF362" s="101"/>
      <c r="AG362" s="101"/>
      <c r="AH362" s="101"/>
      <c r="AI362" s="101"/>
      <c r="AJ362" s="101"/>
      <c r="AK362" s="101"/>
      <c r="AL362" s="101"/>
      <c r="AM362" s="101"/>
      <c r="AN362" s="101"/>
      <c r="AO362" s="101"/>
    </row>
    <row r="363" spans="1:41">
      <c r="A363" s="115"/>
      <c r="B363" s="116"/>
      <c r="C363" s="117"/>
      <c r="D363" s="116"/>
      <c r="E363" s="101"/>
      <c r="F363" s="101"/>
      <c r="G363" s="101"/>
      <c r="H363" s="101"/>
      <c r="I363" s="101"/>
      <c r="J363" s="101"/>
      <c r="K363" s="101"/>
      <c r="L363" s="101"/>
      <c r="M363" s="101"/>
      <c r="N363" s="101"/>
      <c r="O363" s="101"/>
      <c r="P363" s="101"/>
      <c r="Q363" s="101"/>
      <c r="R363" s="101"/>
      <c r="S363" s="101"/>
      <c r="T363" s="101"/>
      <c r="U363" s="101"/>
      <c r="V363" s="101"/>
      <c r="W363" s="101"/>
      <c r="X363" s="101"/>
      <c r="Y363" s="101"/>
      <c r="Z363" s="101"/>
      <c r="AA363" s="101"/>
      <c r="AB363" s="101"/>
      <c r="AC363" s="101"/>
      <c r="AD363" s="101"/>
      <c r="AE363" s="101"/>
      <c r="AF363" s="101"/>
      <c r="AG363" s="101"/>
      <c r="AH363" s="101"/>
      <c r="AI363" s="101"/>
      <c r="AJ363" s="101"/>
      <c r="AK363" s="101"/>
      <c r="AL363" s="101"/>
      <c r="AM363" s="101"/>
      <c r="AN363" s="101"/>
      <c r="AO363" s="101"/>
    </row>
    <row r="364" spans="1:41">
      <c r="A364" s="115"/>
      <c r="B364" s="116"/>
      <c r="C364" s="117"/>
      <c r="D364" s="116"/>
      <c r="E364" s="101"/>
      <c r="F364" s="101"/>
      <c r="G364" s="101"/>
      <c r="H364" s="101"/>
      <c r="I364" s="101"/>
      <c r="J364" s="101"/>
      <c r="K364" s="101"/>
      <c r="L364" s="101"/>
      <c r="M364" s="101"/>
      <c r="N364" s="101"/>
      <c r="O364" s="101"/>
      <c r="P364" s="101"/>
      <c r="Q364" s="101"/>
      <c r="R364" s="101"/>
      <c r="S364" s="101"/>
      <c r="T364" s="101"/>
      <c r="U364" s="101"/>
      <c r="V364" s="101"/>
      <c r="W364" s="101"/>
      <c r="X364" s="101"/>
      <c r="Y364" s="101"/>
      <c r="Z364" s="101"/>
      <c r="AA364" s="101"/>
      <c r="AB364" s="101"/>
      <c r="AC364" s="101"/>
      <c r="AD364" s="101"/>
      <c r="AE364" s="101"/>
      <c r="AF364" s="101"/>
      <c r="AG364" s="101"/>
      <c r="AH364" s="101"/>
      <c r="AI364" s="101"/>
      <c r="AJ364" s="101"/>
      <c r="AK364" s="101"/>
      <c r="AL364" s="101"/>
      <c r="AM364" s="101"/>
      <c r="AN364" s="101"/>
      <c r="AO364" s="101"/>
    </row>
    <row r="365" spans="1:41">
      <c r="A365" s="115"/>
      <c r="B365" s="116"/>
      <c r="C365" s="117"/>
      <c r="D365" s="116"/>
      <c r="E365" s="101"/>
      <c r="F365" s="101"/>
      <c r="G365" s="101"/>
      <c r="H365" s="101"/>
      <c r="I365" s="101"/>
      <c r="J365" s="101"/>
      <c r="K365" s="101"/>
      <c r="L365" s="101"/>
      <c r="M365" s="101"/>
      <c r="N365" s="101"/>
      <c r="O365" s="101"/>
      <c r="P365" s="101"/>
      <c r="Q365" s="101"/>
      <c r="R365" s="101"/>
      <c r="S365" s="101"/>
      <c r="T365" s="101"/>
      <c r="U365" s="101"/>
      <c r="V365" s="101"/>
      <c r="W365" s="101"/>
      <c r="X365" s="101"/>
      <c r="Y365" s="101"/>
      <c r="Z365" s="101"/>
      <c r="AA365" s="101"/>
      <c r="AB365" s="101"/>
      <c r="AC365" s="101"/>
      <c r="AD365" s="101"/>
      <c r="AE365" s="101"/>
      <c r="AF365" s="101"/>
      <c r="AG365" s="101"/>
      <c r="AH365" s="101"/>
      <c r="AI365" s="101"/>
      <c r="AJ365" s="101"/>
      <c r="AK365" s="101"/>
      <c r="AL365" s="101"/>
      <c r="AM365" s="101"/>
      <c r="AN365" s="101"/>
      <c r="AO365" s="101"/>
    </row>
    <row r="366" spans="1:41">
      <c r="A366" s="115"/>
      <c r="B366" s="116"/>
      <c r="C366" s="117"/>
      <c r="D366" s="116"/>
      <c r="E366" s="101"/>
      <c r="F366" s="101"/>
      <c r="G366" s="101"/>
      <c r="H366" s="101"/>
      <c r="I366" s="101"/>
      <c r="J366" s="101"/>
      <c r="K366" s="101"/>
      <c r="L366" s="101"/>
      <c r="M366" s="101"/>
      <c r="N366" s="101"/>
      <c r="O366" s="101"/>
      <c r="P366" s="101"/>
      <c r="Q366" s="101"/>
      <c r="R366" s="101"/>
      <c r="S366" s="101"/>
      <c r="T366" s="101"/>
      <c r="U366" s="101"/>
      <c r="V366" s="101"/>
      <c r="W366" s="101"/>
      <c r="X366" s="101"/>
      <c r="Y366" s="101"/>
      <c r="Z366" s="101"/>
      <c r="AA366" s="101"/>
      <c r="AB366" s="101"/>
      <c r="AC366" s="101"/>
      <c r="AD366" s="101"/>
      <c r="AE366" s="101"/>
      <c r="AF366" s="101"/>
      <c r="AG366" s="101"/>
      <c r="AH366" s="101"/>
      <c r="AI366" s="101"/>
      <c r="AJ366" s="101"/>
      <c r="AK366" s="101"/>
      <c r="AL366" s="101"/>
      <c r="AM366" s="101"/>
      <c r="AN366" s="101"/>
      <c r="AO366" s="101"/>
    </row>
    <row r="367" spans="1:41">
      <c r="A367" s="115"/>
      <c r="B367" s="116"/>
      <c r="C367" s="117"/>
      <c r="D367" s="116"/>
      <c r="E367" s="101"/>
      <c r="F367" s="101"/>
      <c r="G367" s="101"/>
      <c r="H367" s="101"/>
      <c r="I367" s="101"/>
      <c r="J367" s="101"/>
      <c r="K367" s="101"/>
      <c r="L367" s="101"/>
      <c r="M367" s="101"/>
      <c r="N367" s="101"/>
      <c r="O367" s="101"/>
      <c r="P367" s="101"/>
      <c r="Q367" s="101"/>
      <c r="R367" s="101"/>
      <c r="S367" s="101"/>
      <c r="T367" s="101"/>
      <c r="U367" s="101"/>
      <c r="V367" s="101"/>
      <c r="W367" s="101"/>
      <c r="X367" s="101"/>
      <c r="Y367" s="101"/>
      <c r="Z367" s="101"/>
      <c r="AA367" s="101"/>
      <c r="AB367" s="101"/>
      <c r="AC367" s="101"/>
      <c r="AD367" s="101"/>
      <c r="AE367" s="101"/>
      <c r="AF367" s="101"/>
      <c r="AG367" s="101"/>
      <c r="AH367" s="101"/>
      <c r="AI367" s="101"/>
      <c r="AJ367" s="101"/>
      <c r="AK367" s="101"/>
      <c r="AL367" s="101"/>
      <c r="AM367" s="101"/>
      <c r="AN367" s="101"/>
      <c r="AO367" s="101"/>
    </row>
    <row r="368" spans="1:41">
      <c r="A368" s="115"/>
      <c r="B368" s="116"/>
      <c r="C368" s="117"/>
      <c r="D368" s="116"/>
      <c r="E368" s="101"/>
      <c r="F368" s="101"/>
      <c r="G368" s="101"/>
      <c r="H368" s="101"/>
      <c r="I368" s="101"/>
      <c r="J368" s="101"/>
      <c r="K368" s="101"/>
      <c r="L368" s="101"/>
      <c r="M368" s="101"/>
      <c r="N368" s="101"/>
      <c r="O368" s="101"/>
      <c r="P368" s="101"/>
      <c r="Q368" s="101"/>
      <c r="R368" s="101"/>
      <c r="S368" s="101"/>
      <c r="T368" s="101"/>
      <c r="U368" s="101"/>
      <c r="V368" s="101"/>
      <c r="W368" s="101"/>
      <c r="X368" s="101"/>
      <c r="Y368" s="101"/>
      <c r="Z368" s="101"/>
      <c r="AA368" s="101"/>
      <c r="AB368" s="101"/>
      <c r="AC368" s="101"/>
      <c r="AD368" s="101"/>
      <c r="AE368" s="101"/>
      <c r="AF368" s="101"/>
      <c r="AG368" s="101"/>
      <c r="AH368" s="101"/>
      <c r="AI368" s="101"/>
      <c r="AJ368" s="101"/>
      <c r="AK368" s="101"/>
      <c r="AL368" s="101"/>
      <c r="AM368" s="101"/>
      <c r="AN368" s="101"/>
      <c r="AO368" s="101"/>
    </row>
    <row r="369" spans="1:41">
      <c r="A369" s="115"/>
      <c r="B369" s="116"/>
      <c r="C369" s="117"/>
      <c r="D369" s="116"/>
      <c r="E369" s="101"/>
      <c r="F369" s="101"/>
      <c r="G369" s="101"/>
      <c r="H369" s="101"/>
      <c r="I369" s="101"/>
      <c r="J369" s="101"/>
      <c r="K369" s="101"/>
      <c r="L369" s="101"/>
      <c r="M369" s="101"/>
      <c r="N369" s="101"/>
      <c r="O369" s="101"/>
      <c r="P369" s="101"/>
      <c r="Q369" s="101"/>
      <c r="R369" s="101"/>
      <c r="S369" s="101"/>
      <c r="T369" s="101"/>
      <c r="U369" s="101"/>
      <c r="V369" s="101"/>
      <c r="W369" s="101"/>
      <c r="X369" s="101"/>
      <c r="Y369" s="101"/>
      <c r="Z369" s="101"/>
      <c r="AA369" s="101"/>
      <c r="AB369" s="101"/>
      <c r="AC369" s="101"/>
      <c r="AD369" s="101"/>
      <c r="AE369" s="101"/>
      <c r="AF369" s="101"/>
      <c r="AG369" s="101"/>
      <c r="AH369" s="101"/>
      <c r="AI369" s="101"/>
      <c r="AJ369" s="101"/>
      <c r="AK369" s="101"/>
      <c r="AL369" s="101"/>
      <c r="AM369" s="101"/>
      <c r="AN369" s="101"/>
      <c r="AO369" s="101"/>
    </row>
    <row r="370" spans="1:41">
      <c r="A370" s="115"/>
      <c r="B370" s="116"/>
      <c r="C370" s="117"/>
      <c r="D370" s="116"/>
      <c r="E370" s="101"/>
      <c r="F370" s="101"/>
      <c r="G370" s="101"/>
      <c r="H370" s="101"/>
      <c r="I370" s="101"/>
      <c r="J370" s="101"/>
      <c r="K370" s="101"/>
      <c r="L370" s="101"/>
      <c r="M370" s="101"/>
      <c r="N370" s="101"/>
      <c r="O370" s="101"/>
      <c r="P370" s="101"/>
      <c r="Q370" s="101"/>
      <c r="R370" s="101"/>
      <c r="S370" s="101"/>
      <c r="T370" s="101"/>
      <c r="U370" s="101"/>
      <c r="V370" s="101"/>
      <c r="W370" s="101"/>
      <c r="X370" s="101"/>
      <c r="Y370" s="101"/>
      <c r="Z370" s="101"/>
      <c r="AA370" s="101"/>
      <c r="AB370" s="101"/>
      <c r="AC370" s="101"/>
      <c r="AD370" s="101"/>
      <c r="AE370" s="101"/>
      <c r="AF370" s="101"/>
      <c r="AG370" s="101"/>
      <c r="AH370" s="101"/>
      <c r="AI370" s="101"/>
      <c r="AJ370" s="101"/>
      <c r="AK370" s="101"/>
      <c r="AL370" s="101"/>
      <c r="AM370" s="101"/>
      <c r="AN370" s="101"/>
      <c r="AO370" s="101"/>
    </row>
    <row r="371" spans="1:41">
      <c r="A371" s="115"/>
      <c r="B371" s="116"/>
      <c r="C371" s="117"/>
      <c r="D371" s="116"/>
      <c r="E371" s="101"/>
      <c r="F371" s="101"/>
      <c r="G371" s="101"/>
      <c r="H371" s="101"/>
      <c r="I371" s="101"/>
      <c r="J371" s="101"/>
      <c r="K371" s="101"/>
      <c r="L371" s="101"/>
      <c r="M371" s="101"/>
      <c r="N371" s="101"/>
      <c r="O371" s="101"/>
      <c r="P371" s="101"/>
      <c r="Q371" s="101"/>
      <c r="R371" s="101"/>
      <c r="S371" s="101"/>
      <c r="T371" s="101"/>
      <c r="U371" s="101"/>
      <c r="V371" s="101"/>
      <c r="W371" s="101"/>
      <c r="X371" s="101"/>
      <c r="Y371" s="101"/>
      <c r="Z371" s="101"/>
      <c r="AA371" s="101"/>
      <c r="AB371" s="101"/>
      <c r="AC371" s="101"/>
      <c r="AD371" s="101"/>
      <c r="AE371" s="101"/>
      <c r="AF371" s="101"/>
      <c r="AG371" s="101"/>
      <c r="AH371" s="101"/>
      <c r="AI371" s="101"/>
      <c r="AJ371" s="101"/>
      <c r="AK371" s="101"/>
      <c r="AL371" s="101"/>
      <c r="AM371" s="101"/>
      <c r="AN371" s="101"/>
      <c r="AO371" s="101"/>
    </row>
    <row r="372" spans="1:41">
      <c r="A372" s="115"/>
      <c r="B372" s="116"/>
      <c r="C372" s="117"/>
      <c r="D372" s="116"/>
      <c r="E372" s="101"/>
      <c r="F372" s="101"/>
      <c r="G372" s="101"/>
      <c r="H372" s="101"/>
      <c r="I372" s="101"/>
      <c r="J372" s="101"/>
      <c r="K372" s="101"/>
      <c r="L372" s="101"/>
      <c r="M372" s="101"/>
      <c r="N372" s="101"/>
      <c r="O372" s="101"/>
      <c r="P372" s="101"/>
      <c r="Q372" s="101"/>
      <c r="R372" s="101"/>
      <c r="S372" s="101"/>
      <c r="T372" s="101"/>
      <c r="U372" s="101"/>
      <c r="V372" s="101"/>
      <c r="W372" s="101"/>
      <c r="X372" s="101"/>
      <c r="Y372" s="101"/>
      <c r="Z372" s="101"/>
      <c r="AA372" s="101"/>
      <c r="AB372" s="101"/>
      <c r="AC372" s="101"/>
      <c r="AD372" s="101"/>
      <c r="AE372" s="101"/>
      <c r="AF372" s="101"/>
      <c r="AG372" s="101"/>
      <c r="AH372" s="101"/>
      <c r="AI372" s="101"/>
      <c r="AJ372" s="101"/>
      <c r="AK372" s="101"/>
      <c r="AL372" s="101"/>
      <c r="AM372" s="101"/>
      <c r="AN372" s="101"/>
      <c r="AO372" s="101"/>
    </row>
    <row r="373" spans="1:41">
      <c r="A373" s="115"/>
      <c r="B373" s="116"/>
      <c r="C373" s="117"/>
      <c r="D373" s="116"/>
      <c r="E373" s="101"/>
      <c r="F373" s="101"/>
      <c r="G373" s="101"/>
      <c r="H373" s="101"/>
      <c r="I373" s="101"/>
      <c r="J373" s="101"/>
      <c r="K373" s="101"/>
      <c r="L373" s="101"/>
      <c r="M373" s="101"/>
      <c r="N373" s="101"/>
      <c r="O373" s="101"/>
      <c r="P373" s="101"/>
      <c r="Q373" s="101"/>
      <c r="R373" s="101"/>
      <c r="S373" s="101"/>
      <c r="T373" s="101"/>
      <c r="U373" s="101"/>
      <c r="V373" s="101"/>
      <c r="W373" s="101"/>
      <c r="X373" s="101"/>
      <c r="Y373" s="101"/>
      <c r="Z373" s="101"/>
      <c r="AA373" s="101"/>
      <c r="AB373" s="101"/>
      <c r="AC373" s="101"/>
      <c r="AD373" s="101"/>
      <c r="AE373" s="101"/>
      <c r="AF373" s="101"/>
      <c r="AG373" s="101"/>
      <c r="AH373" s="101"/>
      <c r="AI373" s="101"/>
      <c r="AJ373" s="101"/>
      <c r="AK373" s="101"/>
      <c r="AL373" s="101"/>
      <c r="AM373" s="101"/>
      <c r="AN373" s="101"/>
      <c r="AO373" s="101"/>
    </row>
    <row r="374" spans="1:41">
      <c r="A374" s="115"/>
      <c r="B374" s="116"/>
      <c r="C374" s="117"/>
      <c r="D374" s="116"/>
      <c r="E374" s="101"/>
      <c r="F374" s="101"/>
      <c r="G374" s="101"/>
      <c r="H374" s="101"/>
      <c r="I374" s="101"/>
      <c r="J374" s="101"/>
      <c r="K374" s="101"/>
      <c r="L374" s="101"/>
      <c r="M374" s="101"/>
      <c r="N374" s="101"/>
      <c r="O374" s="101"/>
      <c r="P374" s="101"/>
      <c r="Q374" s="101"/>
      <c r="R374" s="101"/>
      <c r="S374" s="101"/>
      <c r="T374" s="101"/>
      <c r="U374" s="101"/>
      <c r="V374" s="101"/>
      <c r="W374" s="101"/>
      <c r="X374" s="101"/>
      <c r="Y374" s="101"/>
      <c r="Z374" s="101"/>
      <c r="AA374" s="101"/>
      <c r="AB374" s="101"/>
      <c r="AC374" s="101"/>
      <c r="AD374" s="101"/>
      <c r="AE374" s="101"/>
      <c r="AF374" s="101"/>
      <c r="AG374" s="101"/>
      <c r="AH374" s="101"/>
      <c r="AI374" s="101"/>
      <c r="AJ374" s="101"/>
      <c r="AK374" s="101"/>
      <c r="AL374" s="101"/>
      <c r="AM374" s="101"/>
      <c r="AN374" s="101"/>
      <c r="AO374" s="101"/>
    </row>
    <row r="375" spans="1:41">
      <c r="A375" s="115"/>
      <c r="B375" s="116"/>
      <c r="C375" s="117"/>
      <c r="D375" s="116"/>
      <c r="E375" s="101"/>
      <c r="F375" s="101"/>
      <c r="G375" s="101"/>
      <c r="H375" s="101"/>
      <c r="I375" s="101"/>
      <c r="J375" s="101"/>
      <c r="K375" s="101"/>
      <c r="L375" s="101"/>
      <c r="M375" s="101"/>
      <c r="N375" s="101"/>
      <c r="O375" s="101"/>
      <c r="P375" s="101"/>
      <c r="Q375" s="101"/>
      <c r="R375" s="101"/>
      <c r="S375" s="101"/>
      <c r="T375" s="101"/>
      <c r="U375" s="101"/>
      <c r="V375" s="101"/>
      <c r="W375" s="101"/>
      <c r="X375" s="101"/>
      <c r="Y375" s="101"/>
      <c r="Z375" s="101"/>
      <c r="AA375" s="101"/>
      <c r="AB375" s="101"/>
      <c r="AC375" s="101"/>
      <c r="AD375" s="101"/>
      <c r="AE375" s="101"/>
      <c r="AF375" s="101"/>
      <c r="AG375" s="101"/>
      <c r="AH375" s="101"/>
      <c r="AI375" s="101"/>
      <c r="AJ375" s="101"/>
      <c r="AK375" s="101"/>
      <c r="AL375" s="101"/>
      <c r="AM375" s="101"/>
      <c r="AN375" s="101"/>
      <c r="AO375" s="101"/>
    </row>
    <row r="376" spans="1:41">
      <c r="A376" s="115"/>
      <c r="B376" s="116"/>
      <c r="C376" s="117"/>
      <c r="D376" s="116"/>
      <c r="E376" s="101"/>
      <c r="F376" s="101"/>
      <c r="G376" s="101"/>
      <c r="H376" s="101"/>
      <c r="I376" s="101"/>
      <c r="J376" s="101"/>
      <c r="K376" s="101"/>
      <c r="L376" s="101"/>
      <c r="M376" s="101"/>
      <c r="N376" s="101"/>
      <c r="O376" s="101"/>
      <c r="P376" s="101"/>
      <c r="Q376" s="101"/>
      <c r="R376" s="101"/>
      <c r="S376" s="101"/>
      <c r="T376" s="101"/>
      <c r="U376" s="101"/>
      <c r="V376" s="101"/>
      <c r="W376" s="101"/>
      <c r="X376" s="101"/>
      <c r="Y376" s="101"/>
      <c r="Z376" s="101"/>
      <c r="AA376" s="101"/>
      <c r="AB376" s="101"/>
      <c r="AC376" s="101"/>
      <c r="AD376" s="101"/>
      <c r="AE376" s="101"/>
      <c r="AF376" s="101"/>
      <c r="AG376" s="101"/>
      <c r="AH376" s="101"/>
      <c r="AI376" s="101"/>
      <c r="AJ376" s="101"/>
      <c r="AK376" s="101"/>
      <c r="AL376" s="101"/>
      <c r="AM376" s="101"/>
      <c r="AN376" s="101"/>
      <c r="AO376" s="101"/>
    </row>
    <row r="377" spans="1:41">
      <c r="A377" s="115"/>
      <c r="B377" s="116"/>
      <c r="C377" s="117"/>
      <c r="D377" s="116"/>
      <c r="E377" s="101"/>
      <c r="F377" s="101"/>
      <c r="G377" s="101"/>
      <c r="H377" s="101"/>
      <c r="I377" s="101"/>
      <c r="J377" s="101"/>
      <c r="K377" s="101"/>
      <c r="L377" s="101"/>
      <c r="M377" s="101"/>
      <c r="N377" s="101"/>
      <c r="O377" s="101"/>
      <c r="P377" s="101"/>
      <c r="Q377" s="101"/>
      <c r="R377" s="101"/>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row>
    <row r="378" spans="1:41">
      <c r="A378" s="115"/>
      <c r="B378" s="116"/>
      <c r="C378" s="117"/>
      <c r="D378" s="116"/>
      <c r="E378" s="101"/>
      <c r="F378" s="101"/>
      <c r="G378" s="101"/>
      <c r="H378" s="101"/>
      <c r="I378" s="101"/>
      <c r="J378" s="101"/>
      <c r="K378" s="101"/>
      <c r="L378" s="101"/>
      <c r="M378" s="101"/>
      <c r="N378" s="101"/>
      <c r="O378" s="101"/>
      <c r="P378" s="101"/>
      <c r="Q378" s="101"/>
      <c r="R378" s="101"/>
      <c r="S378" s="101"/>
      <c r="T378" s="101"/>
      <c r="U378" s="101"/>
      <c r="V378" s="101"/>
      <c r="W378" s="101"/>
      <c r="X378" s="101"/>
      <c r="Y378" s="101"/>
      <c r="Z378" s="101"/>
      <c r="AA378" s="101"/>
      <c r="AB378" s="101"/>
      <c r="AC378" s="101"/>
      <c r="AD378" s="101"/>
      <c r="AE378" s="101"/>
      <c r="AF378" s="101"/>
      <c r="AG378" s="101"/>
      <c r="AH378" s="101"/>
      <c r="AI378" s="101"/>
      <c r="AJ378" s="101"/>
      <c r="AK378" s="101"/>
      <c r="AL378" s="101"/>
      <c r="AM378" s="101"/>
      <c r="AN378" s="101"/>
      <c r="AO378" s="101"/>
    </row>
    <row r="379" spans="1:41">
      <c r="A379" s="115"/>
      <c r="B379" s="116"/>
      <c r="C379" s="117"/>
      <c r="D379" s="116"/>
      <c r="E379" s="101"/>
      <c r="F379" s="101"/>
      <c r="G379" s="101"/>
      <c r="H379" s="101"/>
      <c r="I379" s="101"/>
      <c r="J379" s="101"/>
      <c r="K379" s="101"/>
      <c r="L379" s="101"/>
      <c r="M379" s="101"/>
      <c r="N379" s="101"/>
      <c r="O379" s="101"/>
      <c r="P379" s="101"/>
      <c r="Q379" s="101"/>
      <c r="R379" s="101"/>
      <c r="S379" s="101"/>
      <c r="T379" s="101"/>
      <c r="U379" s="101"/>
      <c r="V379" s="101"/>
      <c r="W379" s="101"/>
      <c r="X379" s="101"/>
      <c r="Y379" s="101"/>
      <c r="Z379" s="101"/>
      <c r="AA379" s="101"/>
      <c r="AB379" s="101"/>
      <c r="AC379" s="101"/>
      <c r="AD379" s="101"/>
      <c r="AE379" s="101"/>
      <c r="AF379" s="101"/>
      <c r="AG379" s="101"/>
      <c r="AH379" s="101"/>
      <c r="AI379" s="101"/>
      <c r="AJ379" s="101"/>
      <c r="AK379" s="101"/>
      <c r="AL379" s="101"/>
      <c r="AM379" s="101"/>
      <c r="AN379" s="101"/>
      <c r="AO379" s="101"/>
    </row>
    <row r="380" spans="1:41">
      <c r="A380" s="115"/>
      <c r="B380" s="116"/>
      <c r="C380" s="117"/>
      <c r="D380" s="116"/>
      <c r="E380" s="101"/>
      <c r="F380" s="101"/>
      <c r="G380" s="101"/>
      <c r="H380" s="101"/>
      <c r="I380" s="101"/>
      <c r="J380" s="101"/>
      <c r="K380" s="101"/>
      <c r="L380" s="101"/>
      <c r="M380" s="101"/>
      <c r="N380" s="101"/>
      <c r="O380" s="101"/>
      <c r="P380" s="101"/>
      <c r="Q380" s="101"/>
      <c r="R380" s="101"/>
      <c r="S380" s="101"/>
      <c r="T380" s="101"/>
      <c r="U380" s="101"/>
      <c r="V380" s="101"/>
      <c r="W380" s="101"/>
      <c r="X380" s="101"/>
      <c r="Y380" s="101"/>
      <c r="Z380" s="101"/>
      <c r="AA380" s="101"/>
      <c r="AB380" s="101"/>
      <c r="AC380" s="101"/>
      <c r="AD380" s="101"/>
      <c r="AE380" s="101"/>
      <c r="AF380" s="101"/>
      <c r="AG380" s="101"/>
      <c r="AH380" s="101"/>
      <c r="AI380" s="101"/>
      <c r="AJ380" s="101"/>
      <c r="AK380" s="101"/>
      <c r="AL380" s="101"/>
      <c r="AM380" s="101"/>
      <c r="AN380" s="101"/>
      <c r="AO380" s="101"/>
    </row>
    <row r="381" spans="1:41">
      <c r="A381" s="115"/>
      <c r="B381" s="116"/>
      <c r="C381" s="117"/>
      <c r="D381" s="116"/>
      <c r="E381" s="101"/>
      <c r="F381" s="101"/>
      <c r="G381" s="101"/>
      <c r="H381" s="101"/>
      <c r="I381" s="101"/>
      <c r="J381" s="101"/>
      <c r="K381" s="101"/>
      <c r="L381" s="101"/>
      <c r="M381" s="101"/>
      <c r="N381" s="101"/>
      <c r="O381" s="101"/>
      <c r="P381" s="101"/>
      <c r="Q381" s="101"/>
      <c r="R381" s="101"/>
      <c r="S381" s="101"/>
      <c r="T381" s="101"/>
      <c r="U381" s="101"/>
      <c r="V381" s="101"/>
      <c r="W381" s="101"/>
      <c r="X381" s="101"/>
      <c r="Y381" s="101"/>
      <c r="Z381" s="101"/>
      <c r="AA381" s="101"/>
      <c r="AB381" s="101"/>
      <c r="AC381" s="101"/>
      <c r="AD381" s="101"/>
      <c r="AE381" s="101"/>
      <c r="AF381" s="101"/>
      <c r="AG381" s="101"/>
      <c r="AH381" s="101"/>
      <c r="AI381" s="101"/>
      <c r="AJ381" s="101"/>
      <c r="AK381" s="101"/>
      <c r="AL381" s="101"/>
      <c r="AM381" s="101"/>
      <c r="AN381" s="101"/>
      <c r="AO381" s="101"/>
    </row>
    <row r="382" spans="1:41">
      <c r="A382" s="115"/>
      <c r="B382" s="116"/>
      <c r="C382" s="117"/>
      <c r="D382" s="116"/>
      <c r="E382" s="101"/>
      <c r="F382" s="101"/>
      <c r="G382" s="101"/>
      <c r="H382" s="101"/>
      <c r="I382" s="101"/>
      <c r="J382" s="101"/>
      <c r="K382" s="101"/>
      <c r="L382" s="101"/>
      <c r="M382" s="101"/>
      <c r="N382" s="101"/>
      <c r="O382" s="101"/>
      <c r="P382" s="101"/>
      <c r="Q382" s="101"/>
      <c r="R382" s="101"/>
      <c r="S382" s="101"/>
      <c r="T382" s="101"/>
      <c r="U382" s="101"/>
      <c r="V382" s="101"/>
      <c r="W382" s="101"/>
      <c r="X382" s="101"/>
      <c r="Y382" s="101"/>
      <c r="Z382" s="101"/>
      <c r="AA382" s="101"/>
      <c r="AB382" s="101"/>
      <c r="AC382" s="101"/>
      <c r="AD382" s="101"/>
      <c r="AE382" s="101"/>
      <c r="AF382" s="101"/>
      <c r="AG382" s="101"/>
      <c r="AH382" s="101"/>
      <c r="AI382" s="101"/>
      <c r="AJ382" s="101"/>
      <c r="AK382" s="101"/>
      <c r="AL382" s="101"/>
      <c r="AM382" s="101"/>
      <c r="AN382" s="101"/>
      <c r="AO382" s="101"/>
    </row>
    <row r="383" spans="1:41">
      <c r="A383" s="115"/>
      <c r="B383" s="116"/>
      <c r="C383" s="117"/>
      <c r="D383" s="116"/>
      <c r="E383" s="101"/>
      <c r="F383" s="101"/>
      <c r="G383" s="101"/>
      <c r="H383" s="101"/>
      <c r="I383" s="101"/>
      <c r="J383" s="101"/>
      <c r="K383" s="101"/>
      <c r="L383" s="101"/>
      <c r="M383" s="101"/>
      <c r="N383" s="101"/>
      <c r="O383" s="101"/>
      <c r="P383" s="101"/>
      <c r="Q383" s="101"/>
      <c r="R383" s="101"/>
      <c r="S383" s="101"/>
      <c r="T383" s="101"/>
      <c r="U383" s="101"/>
      <c r="V383" s="101"/>
      <c r="W383" s="101"/>
      <c r="X383" s="101"/>
      <c r="Y383" s="101"/>
      <c r="Z383" s="101"/>
      <c r="AA383" s="101"/>
      <c r="AB383" s="101"/>
      <c r="AC383" s="101"/>
      <c r="AD383" s="101"/>
      <c r="AE383" s="101"/>
      <c r="AF383" s="101"/>
      <c r="AG383" s="101"/>
      <c r="AH383" s="101"/>
      <c r="AI383" s="101"/>
      <c r="AJ383" s="101"/>
      <c r="AK383" s="101"/>
      <c r="AL383" s="101"/>
      <c r="AM383" s="101"/>
      <c r="AN383" s="101"/>
      <c r="AO383" s="101"/>
    </row>
    <row r="384" spans="1:41">
      <c r="A384" s="115"/>
      <c r="B384" s="116"/>
      <c r="C384" s="117"/>
      <c r="D384" s="116"/>
      <c r="E384" s="101"/>
      <c r="F384" s="101"/>
      <c r="G384" s="101"/>
      <c r="H384" s="101"/>
      <c r="I384" s="101"/>
      <c r="J384" s="101"/>
      <c r="K384" s="101"/>
      <c r="L384" s="101"/>
      <c r="M384" s="101"/>
      <c r="N384" s="101"/>
      <c r="O384" s="101"/>
      <c r="P384" s="101"/>
      <c r="Q384" s="101"/>
      <c r="R384" s="101"/>
      <c r="S384" s="101"/>
      <c r="T384" s="101"/>
      <c r="U384" s="101"/>
      <c r="V384" s="101"/>
      <c r="W384" s="101"/>
      <c r="X384" s="101"/>
      <c r="Y384" s="101"/>
      <c r="Z384" s="101"/>
      <c r="AA384" s="101"/>
      <c r="AB384" s="101"/>
      <c r="AC384" s="101"/>
      <c r="AD384" s="101"/>
      <c r="AE384" s="101"/>
      <c r="AF384" s="101"/>
      <c r="AG384" s="101"/>
      <c r="AH384" s="101"/>
      <c r="AI384" s="101"/>
      <c r="AJ384" s="101"/>
      <c r="AK384" s="101"/>
      <c r="AL384" s="101"/>
      <c r="AM384" s="101"/>
      <c r="AN384" s="101"/>
      <c r="AO384" s="101"/>
    </row>
    <row r="385" spans="1:41">
      <c r="A385" s="115"/>
      <c r="B385" s="116"/>
      <c r="C385" s="117"/>
      <c r="D385" s="116"/>
      <c r="E385" s="101"/>
      <c r="F385" s="101"/>
      <c r="G385" s="101"/>
      <c r="H385" s="101"/>
      <c r="I385" s="101"/>
      <c r="J385" s="101"/>
      <c r="K385" s="101"/>
      <c r="L385" s="101"/>
      <c r="M385" s="101"/>
      <c r="N385" s="101"/>
      <c r="O385" s="101"/>
      <c r="P385" s="101"/>
      <c r="Q385" s="101"/>
      <c r="R385" s="101"/>
      <c r="S385" s="101"/>
      <c r="T385" s="101"/>
      <c r="U385" s="101"/>
      <c r="V385" s="101"/>
      <c r="W385" s="101"/>
      <c r="X385" s="101"/>
      <c r="Y385" s="101"/>
      <c r="Z385" s="101"/>
      <c r="AA385" s="101"/>
      <c r="AB385" s="101"/>
      <c r="AC385" s="101"/>
      <c r="AD385" s="101"/>
      <c r="AE385" s="101"/>
      <c r="AF385" s="101"/>
      <c r="AG385" s="101"/>
      <c r="AH385" s="101"/>
      <c r="AI385" s="101"/>
      <c r="AJ385" s="101"/>
      <c r="AK385" s="101"/>
      <c r="AL385" s="101"/>
      <c r="AM385" s="101"/>
      <c r="AN385" s="101"/>
      <c r="AO385" s="101"/>
    </row>
    <row r="386" spans="1:41">
      <c r="A386" s="115"/>
      <c r="B386" s="116"/>
      <c r="C386" s="117"/>
      <c r="D386" s="116"/>
      <c r="E386" s="101"/>
      <c r="F386" s="101"/>
      <c r="G386" s="101"/>
      <c r="H386" s="101"/>
      <c r="I386" s="101"/>
      <c r="J386" s="101"/>
      <c r="K386" s="101"/>
      <c r="L386" s="101"/>
      <c r="M386" s="101"/>
      <c r="N386" s="101"/>
      <c r="O386" s="101"/>
      <c r="P386" s="101"/>
      <c r="Q386" s="101"/>
      <c r="R386" s="101"/>
      <c r="S386" s="101"/>
      <c r="T386" s="101"/>
      <c r="U386" s="101"/>
      <c r="V386" s="101"/>
      <c r="W386" s="101"/>
      <c r="X386" s="101"/>
      <c r="Y386" s="101"/>
      <c r="Z386" s="101"/>
      <c r="AA386" s="101"/>
      <c r="AB386" s="101"/>
      <c r="AC386" s="101"/>
      <c r="AD386" s="101"/>
      <c r="AE386" s="101"/>
      <c r="AF386" s="101"/>
      <c r="AG386" s="101"/>
      <c r="AH386" s="101"/>
      <c r="AI386" s="101"/>
      <c r="AJ386" s="101"/>
      <c r="AK386" s="101"/>
      <c r="AL386" s="101"/>
      <c r="AM386" s="101"/>
      <c r="AN386" s="101"/>
      <c r="AO386" s="101"/>
    </row>
    <row r="387" spans="1:41">
      <c r="A387" s="115"/>
      <c r="B387" s="116"/>
      <c r="C387" s="117"/>
      <c r="D387" s="116"/>
      <c r="E387" s="101"/>
      <c r="F387" s="101"/>
      <c r="G387" s="101"/>
      <c r="H387" s="101"/>
      <c r="I387" s="101"/>
      <c r="J387" s="101"/>
      <c r="K387" s="101"/>
      <c r="L387" s="101"/>
      <c r="M387" s="101"/>
      <c r="N387" s="101"/>
      <c r="O387" s="101"/>
      <c r="P387" s="101"/>
      <c r="Q387" s="101"/>
      <c r="R387" s="101"/>
      <c r="S387" s="101"/>
      <c r="T387" s="101"/>
      <c r="U387" s="101"/>
      <c r="V387" s="101"/>
      <c r="W387" s="101"/>
      <c r="X387" s="101"/>
      <c r="Y387" s="101"/>
      <c r="Z387" s="101"/>
      <c r="AA387" s="101"/>
      <c r="AB387" s="101"/>
      <c r="AC387" s="101"/>
      <c r="AD387" s="101"/>
      <c r="AE387" s="101"/>
      <c r="AF387" s="101"/>
      <c r="AG387" s="101"/>
      <c r="AH387" s="101"/>
      <c r="AI387" s="101"/>
      <c r="AJ387" s="101"/>
      <c r="AK387" s="101"/>
      <c r="AL387" s="101"/>
      <c r="AM387" s="101"/>
      <c r="AN387" s="101"/>
      <c r="AO387" s="101"/>
    </row>
    <row r="388" spans="1:41">
      <c r="A388" s="115"/>
      <c r="B388" s="116"/>
      <c r="C388" s="117"/>
      <c r="D388" s="116"/>
      <c r="E388" s="101"/>
      <c r="F388" s="101"/>
      <c r="G388" s="101"/>
      <c r="H388" s="101"/>
      <c r="I388" s="101"/>
      <c r="J388" s="101"/>
      <c r="K388" s="101"/>
      <c r="L388" s="101"/>
      <c r="M388" s="101"/>
      <c r="N388" s="101"/>
      <c r="O388" s="101"/>
      <c r="P388" s="101"/>
      <c r="Q388" s="101"/>
      <c r="R388" s="101"/>
      <c r="S388" s="101"/>
      <c r="T388" s="101"/>
      <c r="U388" s="101"/>
      <c r="V388" s="101"/>
      <c r="W388" s="101"/>
      <c r="X388" s="101"/>
      <c r="Y388" s="101"/>
      <c r="Z388" s="101"/>
      <c r="AA388" s="101"/>
      <c r="AB388" s="101"/>
      <c r="AC388" s="101"/>
      <c r="AD388" s="101"/>
      <c r="AE388" s="101"/>
      <c r="AF388" s="101"/>
      <c r="AG388" s="101"/>
      <c r="AH388" s="101"/>
      <c r="AI388" s="101"/>
      <c r="AJ388" s="101"/>
      <c r="AK388" s="101"/>
      <c r="AL388" s="101"/>
      <c r="AM388" s="101"/>
      <c r="AN388" s="101"/>
      <c r="AO388" s="101"/>
    </row>
    <row r="389" spans="1:41">
      <c r="A389" s="115"/>
      <c r="B389" s="116"/>
      <c r="C389" s="117"/>
      <c r="D389" s="116"/>
      <c r="E389" s="101"/>
      <c r="F389" s="101"/>
      <c r="G389" s="101"/>
      <c r="H389" s="101"/>
      <c r="I389" s="101"/>
      <c r="J389" s="101"/>
      <c r="K389" s="101"/>
      <c r="L389" s="101"/>
      <c r="M389" s="101"/>
      <c r="N389" s="101"/>
      <c r="O389" s="101"/>
      <c r="P389" s="101"/>
      <c r="Q389" s="101"/>
      <c r="R389" s="101"/>
      <c r="S389" s="101"/>
      <c r="T389" s="101"/>
      <c r="U389" s="101"/>
      <c r="V389" s="101"/>
      <c r="W389" s="101"/>
      <c r="X389" s="101"/>
      <c r="Y389" s="101"/>
      <c r="Z389" s="101"/>
      <c r="AA389" s="101"/>
      <c r="AB389" s="101"/>
      <c r="AC389" s="101"/>
      <c r="AD389" s="101"/>
      <c r="AE389" s="101"/>
      <c r="AF389" s="101"/>
      <c r="AG389" s="101"/>
      <c r="AH389" s="101"/>
      <c r="AI389" s="101"/>
      <c r="AJ389" s="101"/>
      <c r="AK389" s="101"/>
      <c r="AL389" s="101"/>
      <c r="AM389" s="101"/>
      <c r="AN389" s="101"/>
      <c r="AO389" s="101"/>
    </row>
    <row r="390" spans="1:41">
      <c r="A390" s="115"/>
      <c r="B390" s="116"/>
      <c r="C390" s="117"/>
      <c r="D390" s="116"/>
      <c r="E390" s="101"/>
      <c r="F390" s="101"/>
      <c r="G390" s="101"/>
      <c r="H390" s="101"/>
      <c r="I390" s="101"/>
      <c r="J390" s="101"/>
      <c r="K390" s="101"/>
      <c r="L390" s="101"/>
      <c r="M390" s="101"/>
      <c r="N390" s="101"/>
      <c r="O390" s="101"/>
      <c r="P390" s="101"/>
      <c r="Q390" s="101"/>
      <c r="R390" s="101"/>
      <c r="S390" s="101"/>
      <c r="T390" s="101"/>
      <c r="U390" s="101"/>
      <c r="V390" s="101"/>
      <c r="W390" s="101"/>
      <c r="X390" s="101"/>
      <c r="Y390" s="101"/>
      <c r="Z390" s="101"/>
      <c r="AA390" s="101"/>
      <c r="AB390" s="101"/>
      <c r="AC390" s="101"/>
      <c r="AD390" s="101"/>
      <c r="AE390" s="101"/>
      <c r="AF390" s="101"/>
      <c r="AG390" s="101"/>
      <c r="AH390" s="101"/>
      <c r="AI390" s="101"/>
      <c r="AJ390" s="101"/>
      <c r="AK390" s="101"/>
      <c r="AL390" s="101"/>
      <c r="AM390" s="101"/>
      <c r="AN390" s="101"/>
      <c r="AO390" s="101"/>
    </row>
    <row r="391" spans="1:41">
      <c r="A391" s="115"/>
      <c r="B391" s="116"/>
      <c r="C391" s="117"/>
      <c r="D391" s="116"/>
      <c r="E391" s="101"/>
      <c r="F391" s="101"/>
      <c r="G391" s="101"/>
      <c r="H391" s="101"/>
      <c r="I391" s="101"/>
      <c r="J391" s="101"/>
      <c r="K391" s="101"/>
      <c r="L391" s="101"/>
      <c r="M391" s="101"/>
      <c r="N391" s="101"/>
      <c r="O391" s="101"/>
      <c r="P391" s="101"/>
      <c r="Q391" s="101"/>
      <c r="R391" s="101"/>
      <c r="S391" s="101"/>
      <c r="T391" s="101"/>
      <c r="U391" s="101"/>
      <c r="V391" s="101"/>
      <c r="W391" s="101"/>
      <c r="X391" s="101"/>
      <c r="Y391" s="101"/>
      <c r="Z391" s="101"/>
      <c r="AA391" s="101"/>
      <c r="AB391" s="101"/>
      <c r="AC391" s="101"/>
      <c r="AD391" s="101"/>
      <c r="AE391" s="101"/>
      <c r="AF391" s="101"/>
      <c r="AG391" s="101"/>
      <c r="AH391" s="101"/>
      <c r="AI391" s="101"/>
      <c r="AJ391" s="101"/>
      <c r="AK391" s="101"/>
      <c r="AL391" s="101"/>
      <c r="AM391" s="101"/>
      <c r="AN391" s="101"/>
      <c r="AO391" s="101"/>
    </row>
    <row r="392" spans="1:41">
      <c r="A392" s="115"/>
      <c r="B392" s="116"/>
      <c r="C392" s="117"/>
      <c r="D392" s="116"/>
      <c r="E392" s="101"/>
      <c r="F392" s="101"/>
      <c r="G392" s="101"/>
      <c r="H392" s="101"/>
      <c r="I392" s="101"/>
      <c r="J392" s="101"/>
      <c r="K392" s="101"/>
      <c r="L392" s="101"/>
      <c r="M392" s="101"/>
      <c r="N392" s="101"/>
      <c r="O392" s="101"/>
      <c r="P392" s="101"/>
      <c r="Q392" s="101"/>
      <c r="R392" s="101"/>
      <c r="S392" s="101"/>
      <c r="T392" s="101"/>
      <c r="U392" s="101"/>
      <c r="V392" s="101"/>
      <c r="W392" s="101"/>
      <c r="X392" s="101"/>
      <c r="Y392" s="101"/>
      <c r="Z392" s="101"/>
      <c r="AA392" s="101"/>
      <c r="AB392" s="101"/>
      <c r="AC392" s="101"/>
      <c r="AD392" s="101"/>
      <c r="AE392" s="101"/>
      <c r="AF392" s="101"/>
      <c r="AG392" s="101"/>
      <c r="AH392" s="101"/>
      <c r="AI392" s="101"/>
      <c r="AJ392" s="101"/>
      <c r="AK392" s="101"/>
      <c r="AL392" s="101"/>
      <c r="AM392" s="101"/>
      <c r="AN392" s="101"/>
      <c r="AO392" s="101"/>
    </row>
    <row r="393" spans="1:41">
      <c r="A393" s="115"/>
      <c r="B393" s="116"/>
      <c r="C393" s="117"/>
      <c r="D393" s="116"/>
      <c r="E393" s="101"/>
      <c r="F393" s="101"/>
      <c r="G393" s="101"/>
      <c r="H393" s="101"/>
      <c r="I393" s="101"/>
      <c r="J393" s="101"/>
      <c r="K393" s="101"/>
      <c r="L393" s="101"/>
      <c r="M393" s="101"/>
      <c r="N393" s="101"/>
      <c r="O393" s="101"/>
      <c r="P393" s="101"/>
      <c r="Q393" s="101"/>
      <c r="R393" s="101"/>
      <c r="S393" s="101"/>
      <c r="T393" s="101"/>
      <c r="U393" s="101"/>
      <c r="V393" s="101"/>
      <c r="W393" s="101"/>
      <c r="X393" s="101"/>
      <c r="Y393" s="101"/>
      <c r="Z393" s="101"/>
      <c r="AA393" s="101"/>
      <c r="AB393" s="101"/>
      <c r="AC393" s="101"/>
      <c r="AD393" s="101"/>
      <c r="AE393" s="101"/>
      <c r="AF393" s="101"/>
      <c r="AG393" s="101"/>
      <c r="AH393" s="101"/>
      <c r="AI393" s="101"/>
      <c r="AJ393" s="101"/>
      <c r="AK393" s="101"/>
      <c r="AL393" s="101"/>
      <c r="AM393" s="101"/>
      <c r="AN393" s="101"/>
      <c r="AO393" s="101"/>
    </row>
    <row r="394" spans="1:41">
      <c r="A394" s="115"/>
      <c r="B394" s="116"/>
      <c r="C394" s="117"/>
      <c r="D394" s="116"/>
      <c r="E394" s="101"/>
      <c r="F394" s="101"/>
      <c r="G394" s="101"/>
      <c r="H394" s="101"/>
      <c r="I394" s="101"/>
      <c r="J394" s="101"/>
      <c r="K394" s="101"/>
      <c r="L394" s="101"/>
      <c r="M394" s="101"/>
      <c r="N394" s="101"/>
      <c r="O394" s="101"/>
      <c r="P394" s="101"/>
      <c r="Q394" s="101"/>
      <c r="R394" s="101"/>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row>
    <row r="395" spans="1:41">
      <c r="A395" s="115"/>
      <c r="B395" s="116"/>
      <c r="C395" s="117"/>
      <c r="D395" s="116"/>
      <c r="E395" s="101"/>
      <c r="F395" s="101"/>
      <c r="G395" s="101"/>
      <c r="H395" s="101"/>
      <c r="I395" s="101"/>
      <c r="J395" s="101"/>
      <c r="K395" s="101"/>
      <c r="L395" s="101"/>
      <c r="M395" s="101"/>
      <c r="N395" s="101"/>
      <c r="O395" s="101"/>
      <c r="P395" s="101"/>
      <c r="Q395" s="101"/>
      <c r="R395" s="101"/>
      <c r="S395" s="101"/>
      <c r="T395" s="101"/>
      <c r="U395" s="101"/>
      <c r="V395" s="101"/>
      <c r="W395" s="101"/>
      <c r="X395" s="101"/>
      <c r="Y395" s="101"/>
      <c r="Z395" s="101"/>
      <c r="AA395" s="101"/>
      <c r="AB395" s="101"/>
      <c r="AC395" s="101"/>
      <c r="AD395" s="101"/>
      <c r="AE395" s="101"/>
      <c r="AF395" s="101"/>
      <c r="AG395" s="101"/>
      <c r="AH395" s="101"/>
      <c r="AI395" s="101"/>
      <c r="AJ395" s="101"/>
      <c r="AK395" s="101"/>
      <c r="AL395" s="101"/>
      <c r="AM395" s="101"/>
      <c r="AN395" s="101"/>
      <c r="AO395" s="101"/>
    </row>
    <row r="396" spans="1:41">
      <c r="A396" s="115"/>
      <c r="B396" s="116"/>
      <c r="C396" s="117"/>
      <c r="D396" s="116"/>
      <c r="E396" s="101"/>
      <c r="F396" s="101"/>
      <c r="G396" s="101"/>
      <c r="H396" s="101"/>
      <c r="I396" s="101"/>
      <c r="J396" s="101"/>
      <c r="K396" s="101"/>
      <c r="L396" s="101"/>
      <c r="M396" s="101"/>
      <c r="N396" s="101"/>
      <c r="O396" s="101"/>
      <c r="P396" s="101"/>
      <c r="Q396" s="101"/>
      <c r="R396" s="101"/>
      <c r="S396" s="101"/>
      <c r="T396" s="101"/>
      <c r="U396" s="101"/>
      <c r="V396" s="101"/>
      <c r="W396" s="101"/>
      <c r="X396" s="101"/>
      <c r="Y396" s="101"/>
      <c r="Z396" s="101"/>
      <c r="AA396" s="101"/>
      <c r="AB396" s="101"/>
      <c r="AC396" s="101"/>
      <c r="AD396" s="101"/>
      <c r="AE396" s="101"/>
      <c r="AF396" s="101"/>
      <c r="AG396" s="101"/>
      <c r="AH396" s="101"/>
      <c r="AI396" s="101"/>
      <c r="AJ396" s="101"/>
      <c r="AK396" s="101"/>
      <c r="AL396" s="101"/>
      <c r="AM396" s="101"/>
      <c r="AN396" s="101"/>
      <c r="AO396" s="101"/>
    </row>
    <row r="397" spans="1:41">
      <c r="A397" s="115"/>
      <c r="B397" s="116"/>
      <c r="C397" s="117"/>
      <c r="D397" s="116"/>
      <c r="E397" s="101"/>
      <c r="F397" s="101"/>
      <c r="G397" s="101"/>
      <c r="H397" s="101"/>
      <c r="I397" s="101"/>
      <c r="J397" s="101"/>
      <c r="K397" s="101"/>
      <c r="L397" s="101"/>
      <c r="M397" s="101"/>
      <c r="N397" s="101"/>
      <c r="O397" s="101"/>
      <c r="P397" s="101"/>
      <c r="Q397" s="101"/>
      <c r="R397" s="101"/>
      <c r="S397" s="101"/>
      <c r="T397" s="101"/>
      <c r="U397" s="101"/>
      <c r="V397" s="101"/>
      <c r="W397" s="101"/>
      <c r="X397" s="101"/>
      <c r="Y397" s="101"/>
      <c r="Z397" s="101"/>
      <c r="AA397" s="101"/>
      <c r="AB397" s="101"/>
      <c r="AC397" s="101"/>
      <c r="AD397" s="101"/>
      <c r="AE397" s="101"/>
      <c r="AF397" s="101"/>
      <c r="AG397" s="101"/>
      <c r="AH397" s="101"/>
      <c r="AI397" s="101"/>
      <c r="AJ397" s="101"/>
      <c r="AK397" s="101"/>
      <c r="AL397" s="101"/>
      <c r="AM397" s="101"/>
      <c r="AN397" s="101"/>
      <c r="AO397" s="101"/>
    </row>
    <row r="398" spans="1:41">
      <c r="A398" s="115"/>
      <c r="B398" s="116"/>
      <c r="C398" s="117"/>
      <c r="D398" s="116"/>
      <c r="E398" s="101"/>
      <c r="F398" s="101"/>
      <c r="G398" s="101"/>
      <c r="H398" s="101"/>
      <c r="I398" s="101"/>
      <c r="J398" s="101"/>
      <c r="K398" s="101"/>
      <c r="L398" s="101"/>
      <c r="M398" s="101"/>
      <c r="N398" s="101"/>
      <c r="O398" s="101"/>
      <c r="P398" s="101"/>
      <c r="Q398" s="101"/>
      <c r="R398" s="101"/>
      <c r="S398" s="101"/>
      <c r="T398" s="101"/>
      <c r="U398" s="101"/>
      <c r="V398" s="101"/>
      <c r="W398" s="101"/>
      <c r="X398" s="101"/>
      <c r="Y398" s="101"/>
      <c r="Z398" s="101"/>
      <c r="AA398" s="101"/>
      <c r="AB398" s="101"/>
      <c r="AC398" s="101"/>
      <c r="AD398" s="101"/>
      <c r="AE398" s="101"/>
      <c r="AF398" s="101"/>
      <c r="AG398" s="101"/>
      <c r="AH398" s="101"/>
      <c r="AI398" s="101"/>
      <c r="AJ398" s="101"/>
      <c r="AK398" s="101"/>
      <c r="AL398" s="101"/>
      <c r="AM398" s="101"/>
      <c r="AN398" s="101"/>
      <c r="AO398" s="101"/>
    </row>
    <row r="399" spans="1:41">
      <c r="A399" s="115"/>
      <c r="B399" s="116"/>
      <c r="C399" s="117"/>
      <c r="D399" s="116"/>
      <c r="E399" s="101"/>
      <c r="F399" s="101"/>
      <c r="G399" s="101"/>
      <c r="H399" s="101"/>
      <c r="I399" s="101"/>
      <c r="J399" s="101"/>
      <c r="K399" s="101"/>
      <c r="L399" s="101"/>
      <c r="M399" s="101"/>
      <c r="N399" s="101"/>
      <c r="O399" s="101"/>
      <c r="P399" s="101"/>
      <c r="Q399" s="101"/>
      <c r="R399" s="101"/>
      <c r="S399" s="101"/>
      <c r="T399" s="101"/>
      <c r="U399" s="101"/>
      <c r="V399" s="101"/>
      <c r="W399" s="101"/>
      <c r="X399" s="101"/>
      <c r="Y399" s="101"/>
      <c r="Z399" s="101"/>
      <c r="AA399" s="101"/>
      <c r="AB399" s="101"/>
      <c r="AC399" s="101"/>
      <c r="AD399" s="101"/>
      <c r="AE399" s="101"/>
      <c r="AF399" s="101"/>
      <c r="AG399" s="101"/>
      <c r="AH399" s="101"/>
      <c r="AI399" s="101"/>
      <c r="AJ399" s="101"/>
      <c r="AK399" s="101"/>
      <c r="AL399" s="101"/>
      <c r="AM399" s="101"/>
      <c r="AN399" s="101"/>
      <c r="AO399" s="101"/>
    </row>
    <row r="400" spans="1:41">
      <c r="A400" s="115"/>
      <c r="B400" s="116"/>
      <c r="C400" s="117"/>
      <c r="D400" s="116"/>
      <c r="E400" s="101"/>
      <c r="F400" s="101"/>
      <c r="G400" s="101"/>
      <c r="H400" s="101"/>
      <c r="I400" s="101"/>
      <c r="J400" s="101"/>
      <c r="K400" s="101"/>
      <c r="L400" s="101"/>
      <c r="M400" s="101"/>
      <c r="N400" s="101"/>
      <c r="O400" s="101"/>
      <c r="P400" s="101"/>
      <c r="Q400" s="101"/>
      <c r="R400" s="101"/>
      <c r="S400" s="101"/>
      <c r="T400" s="101"/>
      <c r="U400" s="101"/>
      <c r="V400" s="101"/>
      <c r="W400" s="101"/>
      <c r="X400" s="101"/>
      <c r="Y400" s="101"/>
      <c r="Z400" s="101"/>
      <c r="AA400" s="101"/>
      <c r="AB400" s="101"/>
      <c r="AC400" s="101"/>
      <c r="AD400" s="101"/>
      <c r="AE400" s="101"/>
      <c r="AF400" s="101"/>
      <c r="AG400" s="101"/>
      <c r="AH400" s="101"/>
      <c r="AI400" s="101"/>
      <c r="AJ400" s="101"/>
      <c r="AK400" s="101"/>
      <c r="AL400" s="101"/>
      <c r="AM400" s="101"/>
      <c r="AN400" s="101"/>
      <c r="AO400" s="101"/>
    </row>
    <row r="401" spans="1:41">
      <c r="A401" s="115"/>
      <c r="B401" s="116"/>
      <c r="C401" s="117"/>
      <c r="D401" s="116"/>
      <c r="E401" s="101"/>
      <c r="F401" s="101"/>
      <c r="G401" s="101"/>
      <c r="H401" s="101"/>
      <c r="I401" s="101"/>
      <c r="J401" s="101"/>
      <c r="K401" s="101"/>
      <c r="L401" s="101"/>
      <c r="M401" s="101"/>
      <c r="N401" s="101"/>
      <c r="O401" s="101"/>
      <c r="P401" s="101"/>
      <c r="Q401" s="101"/>
      <c r="R401" s="101"/>
      <c r="S401" s="101"/>
      <c r="T401" s="101"/>
      <c r="U401" s="101"/>
      <c r="V401" s="101"/>
      <c r="W401" s="101"/>
      <c r="X401" s="101"/>
      <c r="Y401" s="101"/>
      <c r="Z401" s="101"/>
      <c r="AA401" s="101"/>
      <c r="AB401" s="101"/>
      <c r="AC401" s="101"/>
      <c r="AD401" s="101"/>
      <c r="AE401" s="101"/>
      <c r="AF401" s="101"/>
      <c r="AG401" s="101"/>
      <c r="AH401" s="101"/>
      <c r="AI401" s="101"/>
      <c r="AJ401" s="101"/>
      <c r="AK401" s="101"/>
      <c r="AL401" s="101"/>
      <c r="AM401" s="101"/>
      <c r="AN401" s="101"/>
      <c r="AO401" s="101"/>
    </row>
    <row r="402" spans="1:41">
      <c r="A402" s="115"/>
      <c r="B402" s="116"/>
      <c r="C402" s="117"/>
      <c r="D402" s="116"/>
      <c r="E402" s="101"/>
      <c r="F402" s="101"/>
      <c r="G402" s="101"/>
      <c r="H402" s="101"/>
      <c r="I402" s="101"/>
      <c r="J402" s="101"/>
      <c r="K402" s="101"/>
      <c r="L402" s="101"/>
      <c r="M402" s="101"/>
      <c r="N402" s="101"/>
      <c r="O402" s="101"/>
      <c r="P402" s="101"/>
      <c r="Q402" s="101"/>
      <c r="R402" s="101"/>
      <c r="S402" s="101"/>
      <c r="T402" s="101"/>
      <c r="U402" s="101"/>
      <c r="V402" s="101"/>
      <c r="W402" s="101"/>
      <c r="X402" s="101"/>
      <c r="Y402" s="101"/>
      <c r="Z402" s="101"/>
      <c r="AA402" s="101"/>
      <c r="AB402" s="101"/>
      <c r="AC402" s="101"/>
      <c r="AD402" s="101"/>
      <c r="AE402" s="101"/>
      <c r="AF402" s="101"/>
      <c r="AG402" s="101"/>
      <c r="AH402" s="101"/>
      <c r="AI402" s="101"/>
      <c r="AJ402" s="101"/>
      <c r="AK402" s="101"/>
      <c r="AL402" s="101"/>
      <c r="AM402" s="101"/>
      <c r="AN402" s="101"/>
      <c r="AO402" s="101"/>
    </row>
    <row r="403" spans="1:41">
      <c r="A403" s="115"/>
      <c r="B403" s="116"/>
      <c r="C403" s="117"/>
      <c r="D403" s="116"/>
      <c r="E403" s="101"/>
      <c r="F403" s="101"/>
      <c r="G403" s="101"/>
      <c r="H403" s="101"/>
      <c r="I403" s="101"/>
      <c r="J403" s="101"/>
      <c r="K403" s="101"/>
      <c r="L403" s="101"/>
      <c r="M403" s="101"/>
      <c r="N403" s="101"/>
      <c r="O403" s="101"/>
      <c r="P403" s="101"/>
      <c r="Q403" s="101"/>
      <c r="R403" s="101"/>
      <c r="S403" s="101"/>
      <c r="T403" s="101"/>
      <c r="U403" s="101"/>
      <c r="V403" s="101"/>
      <c r="W403" s="101"/>
      <c r="X403" s="101"/>
      <c r="Y403" s="101"/>
      <c r="Z403" s="101"/>
      <c r="AA403" s="101"/>
      <c r="AB403" s="101"/>
      <c r="AC403" s="101"/>
      <c r="AD403" s="101"/>
      <c r="AE403" s="101"/>
      <c r="AF403" s="101"/>
      <c r="AG403" s="101"/>
      <c r="AH403" s="101"/>
      <c r="AI403" s="101"/>
      <c r="AJ403" s="101"/>
      <c r="AK403" s="101"/>
      <c r="AL403" s="101"/>
      <c r="AM403" s="101"/>
      <c r="AN403" s="101"/>
      <c r="AO403" s="101"/>
    </row>
    <row r="404" spans="1:41">
      <c r="A404" s="115"/>
      <c r="B404" s="116"/>
      <c r="C404" s="117"/>
      <c r="D404" s="116"/>
      <c r="E404" s="101"/>
      <c r="F404" s="101"/>
      <c r="G404" s="101"/>
      <c r="H404" s="101"/>
      <c r="I404" s="101"/>
      <c r="J404" s="101"/>
      <c r="K404" s="101"/>
      <c r="L404" s="101"/>
      <c r="M404" s="101"/>
      <c r="N404" s="101"/>
      <c r="O404" s="101"/>
      <c r="P404" s="101"/>
      <c r="Q404" s="101"/>
      <c r="R404" s="101"/>
      <c r="S404" s="101"/>
      <c r="T404" s="101"/>
      <c r="U404" s="101"/>
      <c r="V404" s="101"/>
      <c r="W404" s="101"/>
      <c r="X404" s="101"/>
      <c r="Y404" s="101"/>
      <c r="Z404" s="101"/>
      <c r="AA404" s="101"/>
      <c r="AB404" s="101"/>
      <c r="AC404" s="101"/>
      <c r="AD404" s="101"/>
      <c r="AE404" s="101"/>
      <c r="AF404" s="101"/>
      <c r="AG404" s="101"/>
      <c r="AH404" s="101"/>
      <c r="AI404" s="101"/>
      <c r="AJ404" s="101"/>
      <c r="AK404" s="101"/>
      <c r="AL404" s="101"/>
      <c r="AM404" s="101"/>
      <c r="AN404" s="101"/>
      <c r="AO404" s="101"/>
    </row>
    <row r="405" spans="1:41">
      <c r="A405" s="115"/>
      <c r="B405" s="116"/>
      <c r="C405" s="117"/>
      <c r="D405" s="116"/>
      <c r="E405" s="101"/>
      <c r="F405" s="101"/>
      <c r="G405" s="101"/>
      <c r="H405" s="101"/>
      <c r="I405" s="101"/>
      <c r="J405" s="101"/>
      <c r="K405" s="101"/>
      <c r="L405" s="101"/>
      <c r="M405" s="101"/>
      <c r="N405" s="101"/>
      <c r="O405" s="101"/>
      <c r="P405" s="101"/>
      <c r="Q405" s="101"/>
      <c r="R405" s="101"/>
      <c r="S405" s="101"/>
      <c r="T405" s="101"/>
      <c r="U405" s="101"/>
      <c r="V405" s="101"/>
      <c r="W405" s="101"/>
      <c r="X405" s="101"/>
      <c r="Y405" s="101"/>
      <c r="Z405" s="101"/>
      <c r="AA405" s="101"/>
      <c r="AB405" s="101"/>
      <c r="AC405" s="101"/>
      <c r="AD405" s="101"/>
      <c r="AE405" s="101"/>
      <c r="AF405" s="101"/>
      <c r="AG405" s="101"/>
      <c r="AH405" s="101"/>
      <c r="AI405" s="101"/>
      <c r="AJ405" s="101"/>
      <c r="AK405" s="101"/>
      <c r="AL405" s="101"/>
      <c r="AM405" s="101"/>
      <c r="AN405" s="101"/>
      <c r="AO405" s="101"/>
    </row>
    <row r="406" spans="1:41">
      <c r="A406" s="115"/>
      <c r="B406" s="116"/>
      <c r="C406" s="117"/>
      <c r="D406" s="116"/>
      <c r="E406" s="101"/>
      <c r="F406" s="101"/>
      <c r="G406" s="101"/>
      <c r="H406" s="101"/>
      <c r="I406" s="101"/>
      <c r="J406" s="101"/>
      <c r="K406" s="101"/>
      <c r="L406" s="101"/>
      <c r="M406" s="101"/>
      <c r="N406" s="101"/>
      <c r="O406" s="101"/>
      <c r="P406" s="101"/>
      <c r="Q406" s="101"/>
      <c r="R406" s="101"/>
      <c r="S406" s="101"/>
      <c r="T406" s="101"/>
      <c r="U406" s="101"/>
      <c r="V406" s="101"/>
      <c r="W406" s="101"/>
      <c r="X406" s="101"/>
      <c r="Y406" s="101"/>
      <c r="Z406" s="101"/>
      <c r="AA406" s="101"/>
      <c r="AB406" s="101"/>
      <c r="AC406" s="101"/>
      <c r="AD406" s="101"/>
      <c r="AE406" s="101"/>
      <c r="AF406" s="101"/>
      <c r="AG406" s="101"/>
      <c r="AH406" s="101"/>
      <c r="AI406" s="101"/>
      <c r="AJ406" s="101"/>
      <c r="AK406" s="101"/>
      <c r="AL406" s="101"/>
      <c r="AM406" s="101"/>
      <c r="AN406" s="101"/>
      <c r="AO406" s="101"/>
    </row>
    <row r="407" spans="1:41">
      <c r="A407" s="115"/>
      <c r="B407" s="116"/>
      <c r="C407" s="117"/>
      <c r="D407" s="116"/>
      <c r="E407" s="101"/>
      <c r="F407" s="101"/>
      <c r="G407" s="101"/>
      <c r="H407" s="101"/>
      <c r="I407" s="101"/>
      <c r="J407" s="101"/>
      <c r="K407" s="101"/>
      <c r="L407" s="101"/>
      <c r="M407" s="101"/>
      <c r="N407" s="101"/>
      <c r="O407" s="101"/>
      <c r="P407" s="101"/>
      <c r="Q407" s="101"/>
      <c r="R407" s="101"/>
      <c r="S407" s="101"/>
      <c r="T407" s="101"/>
      <c r="U407" s="101"/>
      <c r="V407" s="101"/>
      <c r="W407" s="101"/>
      <c r="X407" s="101"/>
      <c r="Y407" s="101"/>
      <c r="Z407" s="101"/>
      <c r="AA407" s="101"/>
      <c r="AB407" s="101"/>
      <c r="AC407" s="101"/>
      <c r="AD407" s="101"/>
      <c r="AE407" s="101"/>
      <c r="AF407" s="101"/>
      <c r="AG407" s="101"/>
      <c r="AH407" s="101"/>
      <c r="AI407" s="101"/>
      <c r="AJ407" s="101"/>
      <c r="AK407" s="101"/>
      <c r="AL407" s="101"/>
      <c r="AM407" s="101"/>
      <c r="AN407" s="101"/>
      <c r="AO407" s="101"/>
    </row>
    <row r="408" spans="1:41">
      <c r="A408" s="115"/>
      <c r="B408" s="116"/>
      <c r="C408" s="117"/>
      <c r="D408" s="116"/>
      <c r="E408" s="101"/>
      <c r="F408" s="101"/>
      <c r="G408" s="101"/>
      <c r="H408" s="101"/>
      <c r="I408" s="101"/>
      <c r="J408" s="101"/>
      <c r="K408" s="101"/>
      <c r="L408" s="101"/>
      <c r="M408" s="101"/>
      <c r="N408" s="101"/>
      <c r="O408" s="101"/>
      <c r="P408" s="101"/>
      <c r="Q408" s="101"/>
      <c r="R408" s="101"/>
      <c r="S408" s="101"/>
      <c r="T408" s="101"/>
      <c r="U408" s="101"/>
      <c r="V408" s="101"/>
      <c r="W408" s="101"/>
      <c r="X408" s="101"/>
      <c r="Y408" s="101"/>
      <c r="Z408" s="101"/>
      <c r="AA408" s="101"/>
      <c r="AB408" s="101"/>
      <c r="AC408" s="101"/>
      <c r="AD408" s="101"/>
      <c r="AE408" s="101"/>
      <c r="AF408" s="101"/>
      <c r="AG408" s="101"/>
      <c r="AH408" s="101"/>
      <c r="AI408" s="101"/>
      <c r="AJ408" s="101"/>
      <c r="AK408" s="101"/>
      <c r="AL408" s="101"/>
      <c r="AM408" s="101"/>
      <c r="AN408" s="101"/>
      <c r="AO408" s="101"/>
    </row>
    <row r="409" spans="1:41">
      <c r="A409" s="115"/>
      <c r="B409" s="116"/>
      <c r="C409" s="117"/>
      <c r="D409" s="116"/>
      <c r="E409" s="101"/>
      <c r="F409" s="101"/>
      <c r="G409" s="101"/>
      <c r="H409" s="101"/>
      <c r="I409" s="101"/>
      <c r="J409" s="101"/>
      <c r="K409" s="101"/>
      <c r="L409" s="101"/>
      <c r="M409" s="101"/>
      <c r="N409" s="101"/>
      <c r="O409" s="101"/>
      <c r="P409" s="101"/>
      <c r="Q409" s="101"/>
      <c r="R409" s="101"/>
      <c r="S409" s="101"/>
      <c r="T409" s="101"/>
      <c r="U409" s="101"/>
      <c r="V409" s="101"/>
      <c r="W409" s="101"/>
      <c r="X409" s="101"/>
      <c r="Y409" s="101"/>
      <c r="Z409" s="101"/>
      <c r="AA409" s="101"/>
      <c r="AB409" s="101"/>
      <c r="AC409" s="101"/>
      <c r="AD409" s="101"/>
      <c r="AE409" s="101"/>
      <c r="AF409" s="101"/>
      <c r="AG409" s="101"/>
      <c r="AH409" s="101"/>
      <c r="AI409" s="101"/>
      <c r="AJ409" s="101"/>
      <c r="AK409" s="101"/>
      <c r="AL409" s="101"/>
      <c r="AM409" s="101"/>
      <c r="AN409" s="101"/>
      <c r="AO409" s="101"/>
    </row>
    <row r="410" spans="1:41">
      <c r="A410" s="115"/>
      <c r="B410" s="116"/>
      <c r="C410" s="117"/>
      <c r="D410" s="116"/>
      <c r="E410" s="101"/>
      <c r="F410" s="101"/>
      <c r="G410" s="101"/>
      <c r="H410" s="101"/>
      <c r="I410" s="101"/>
      <c r="J410" s="101"/>
      <c r="K410" s="101"/>
      <c r="L410" s="101"/>
      <c r="M410" s="101"/>
      <c r="N410" s="101"/>
      <c r="O410" s="101"/>
      <c r="P410" s="101"/>
      <c r="Q410" s="101"/>
      <c r="R410" s="101"/>
      <c r="S410" s="101"/>
      <c r="T410" s="101"/>
      <c r="U410" s="101"/>
      <c r="V410" s="101"/>
      <c r="W410" s="101"/>
      <c r="X410" s="101"/>
      <c r="Y410" s="101"/>
      <c r="Z410" s="101"/>
      <c r="AA410" s="101"/>
      <c r="AB410" s="101"/>
      <c r="AC410" s="101"/>
      <c r="AD410" s="101"/>
      <c r="AE410" s="101"/>
      <c r="AF410" s="101"/>
      <c r="AG410" s="101"/>
      <c r="AH410" s="101"/>
      <c r="AI410" s="101"/>
      <c r="AJ410" s="101"/>
      <c r="AK410" s="101"/>
      <c r="AL410" s="101"/>
      <c r="AM410" s="101"/>
      <c r="AN410" s="101"/>
      <c r="AO410" s="101"/>
    </row>
    <row r="411" spans="1:41">
      <c r="A411" s="115"/>
      <c r="B411" s="116"/>
      <c r="C411" s="117"/>
      <c r="D411" s="116"/>
      <c r="E411" s="101"/>
      <c r="F411" s="101"/>
      <c r="G411" s="101"/>
      <c r="H411" s="101"/>
      <c r="I411" s="101"/>
      <c r="J411" s="101"/>
      <c r="K411" s="101"/>
      <c r="L411" s="101"/>
      <c r="M411" s="101"/>
      <c r="N411" s="101"/>
      <c r="O411" s="101"/>
      <c r="P411" s="101"/>
      <c r="Q411" s="101"/>
      <c r="R411" s="101"/>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row>
    <row r="412" spans="1:41">
      <c r="A412" s="115"/>
      <c r="B412" s="116"/>
      <c r="C412" s="117"/>
      <c r="D412" s="116"/>
      <c r="E412" s="101"/>
      <c r="F412" s="101"/>
      <c r="G412" s="101"/>
      <c r="H412" s="101"/>
      <c r="I412" s="101"/>
      <c r="J412" s="101"/>
      <c r="K412" s="101"/>
      <c r="L412" s="101"/>
      <c r="M412" s="101"/>
      <c r="N412" s="101"/>
      <c r="O412" s="101"/>
      <c r="P412" s="101"/>
      <c r="Q412" s="101"/>
      <c r="R412" s="101"/>
      <c r="S412" s="101"/>
      <c r="T412" s="101"/>
      <c r="U412" s="101"/>
      <c r="V412" s="101"/>
      <c r="W412" s="101"/>
      <c r="X412" s="101"/>
      <c r="Y412" s="101"/>
      <c r="Z412" s="101"/>
      <c r="AA412" s="101"/>
      <c r="AB412" s="101"/>
      <c r="AC412" s="101"/>
      <c r="AD412" s="101"/>
      <c r="AE412" s="101"/>
      <c r="AF412" s="101"/>
      <c r="AG412" s="101"/>
      <c r="AH412" s="101"/>
      <c r="AI412" s="101"/>
      <c r="AJ412" s="101"/>
      <c r="AK412" s="101"/>
      <c r="AL412" s="101"/>
      <c r="AM412" s="101"/>
      <c r="AN412" s="101"/>
      <c r="AO412" s="101"/>
    </row>
    <row r="413" spans="1:41">
      <c r="A413" s="115"/>
      <c r="B413" s="116"/>
      <c r="C413" s="117"/>
      <c r="D413" s="116"/>
      <c r="E413" s="101"/>
      <c r="F413" s="101"/>
      <c r="G413" s="101"/>
      <c r="H413" s="101"/>
      <c r="I413" s="101"/>
      <c r="J413" s="101"/>
      <c r="K413" s="101"/>
      <c r="L413" s="101"/>
      <c r="M413" s="101"/>
      <c r="N413" s="101"/>
      <c r="O413" s="101"/>
      <c r="P413" s="101"/>
      <c r="Q413" s="101"/>
      <c r="R413" s="101"/>
      <c r="S413" s="101"/>
      <c r="T413" s="101"/>
      <c r="U413" s="101"/>
      <c r="V413" s="101"/>
      <c r="W413" s="101"/>
      <c r="X413" s="101"/>
      <c r="Y413" s="101"/>
      <c r="Z413" s="101"/>
      <c r="AA413" s="101"/>
      <c r="AB413" s="101"/>
      <c r="AC413" s="101"/>
      <c r="AD413" s="101"/>
      <c r="AE413" s="101"/>
      <c r="AF413" s="101"/>
      <c r="AG413" s="101"/>
      <c r="AH413" s="101"/>
      <c r="AI413" s="101"/>
      <c r="AJ413" s="101"/>
      <c r="AK413" s="101"/>
      <c r="AL413" s="101"/>
      <c r="AM413" s="101"/>
      <c r="AN413" s="101"/>
      <c r="AO413" s="101"/>
    </row>
    <row r="414" spans="1:41">
      <c r="A414" s="115"/>
      <c r="B414" s="116"/>
      <c r="C414" s="117"/>
      <c r="D414" s="116"/>
      <c r="E414" s="101"/>
      <c r="F414" s="101"/>
      <c r="G414" s="101"/>
      <c r="H414" s="101"/>
      <c r="I414" s="101"/>
      <c r="J414" s="101"/>
      <c r="K414" s="101"/>
      <c r="L414" s="101"/>
      <c r="M414" s="101"/>
      <c r="N414" s="101"/>
      <c r="O414" s="101"/>
      <c r="P414" s="101"/>
      <c r="Q414" s="101"/>
      <c r="R414" s="101"/>
      <c r="S414" s="101"/>
      <c r="T414" s="101"/>
      <c r="U414" s="101"/>
      <c r="V414" s="101"/>
      <c r="W414" s="101"/>
      <c r="X414" s="101"/>
      <c r="Y414" s="101"/>
      <c r="Z414" s="101"/>
      <c r="AA414" s="101"/>
      <c r="AB414" s="101"/>
      <c r="AC414" s="101"/>
      <c r="AD414" s="101"/>
      <c r="AE414" s="101"/>
      <c r="AF414" s="101"/>
      <c r="AG414" s="101"/>
      <c r="AH414" s="101"/>
      <c r="AI414" s="101"/>
      <c r="AJ414" s="101"/>
      <c r="AK414" s="101"/>
      <c r="AL414" s="101"/>
      <c r="AM414" s="101"/>
      <c r="AN414" s="101"/>
      <c r="AO414" s="101"/>
    </row>
    <row r="415" spans="1:41">
      <c r="A415" s="115"/>
      <c r="B415" s="116"/>
      <c r="C415" s="117"/>
      <c r="D415" s="116"/>
      <c r="E415" s="101"/>
      <c r="F415" s="101"/>
      <c r="G415" s="101"/>
      <c r="H415" s="101"/>
      <c r="I415" s="101"/>
      <c r="J415" s="101"/>
      <c r="K415" s="101"/>
      <c r="L415" s="101"/>
      <c r="M415" s="101"/>
      <c r="N415" s="101"/>
      <c r="O415" s="101"/>
      <c r="P415" s="101"/>
      <c r="Q415" s="101"/>
      <c r="R415" s="101"/>
      <c r="S415" s="101"/>
      <c r="T415" s="101"/>
      <c r="U415" s="101"/>
      <c r="V415" s="101"/>
      <c r="W415" s="101"/>
      <c r="X415" s="101"/>
      <c r="Y415" s="101"/>
      <c r="Z415" s="101"/>
      <c r="AA415" s="101"/>
      <c r="AB415" s="101"/>
      <c r="AC415" s="101"/>
      <c r="AD415" s="101"/>
      <c r="AE415" s="101"/>
      <c r="AF415" s="101"/>
      <c r="AG415" s="101"/>
      <c r="AH415" s="101"/>
      <c r="AI415" s="101"/>
      <c r="AJ415" s="101"/>
      <c r="AK415" s="101"/>
      <c r="AL415" s="101"/>
      <c r="AM415" s="101"/>
      <c r="AN415" s="101"/>
      <c r="AO415" s="101"/>
    </row>
    <row r="416" spans="1:41">
      <c r="A416" s="115"/>
      <c r="B416" s="116"/>
      <c r="C416" s="117"/>
      <c r="D416" s="116"/>
      <c r="E416" s="101"/>
      <c r="F416" s="101"/>
      <c r="G416" s="101"/>
      <c r="H416" s="101"/>
      <c r="I416" s="101"/>
      <c r="J416" s="101"/>
      <c r="K416" s="101"/>
      <c r="L416" s="101"/>
      <c r="M416" s="101"/>
      <c r="N416" s="101"/>
      <c r="O416" s="101"/>
      <c r="P416" s="101"/>
      <c r="Q416" s="101"/>
      <c r="R416" s="101"/>
      <c r="S416" s="101"/>
      <c r="T416" s="101"/>
      <c r="U416" s="101"/>
      <c r="V416" s="101"/>
      <c r="W416" s="101"/>
      <c r="X416" s="101"/>
      <c r="Y416" s="101"/>
      <c r="Z416" s="101"/>
      <c r="AA416" s="101"/>
      <c r="AB416" s="101"/>
      <c r="AC416" s="101"/>
      <c r="AD416" s="101"/>
      <c r="AE416" s="101"/>
      <c r="AF416" s="101"/>
      <c r="AG416" s="101"/>
      <c r="AH416" s="101"/>
      <c r="AI416" s="101"/>
      <c r="AJ416" s="101"/>
      <c r="AK416" s="101"/>
      <c r="AL416" s="101"/>
      <c r="AM416" s="101"/>
      <c r="AN416" s="101"/>
      <c r="AO416" s="101"/>
    </row>
    <row r="417" spans="1:41">
      <c r="A417" s="115"/>
      <c r="B417" s="116"/>
      <c r="C417" s="117"/>
      <c r="D417" s="116"/>
      <c r="E417" s="101"/>
      <c r="F417" s="101"/>
      <c r="G417" s="101"/>
      <c r="H417" s="101"/>
      <c r="I417" s="101"/>
      <c r="J417" s="101"/>
      <c r="K417" s="101"/>
      <c r="L417" s="101"/>
      <c r="M417" s="101"/>
      <c r="N417" s="101"/>
      <c r="O417" s="101"/>
      <c r="P417" s="101"/>
      <c r="Q417" s="101"/>
      <c r="R417" s="101"/>
      <c r="S417" s="101"/>
      <c r="T417" s="101"/>
      <c r="U417" s="101"/>
      <c r="V417" s="101"/>
      <c r="W417" s="101"/>
      <c r="X417" s="101"/>
      <c r="Y417" s="101"/>
      <c r="Z417" s="101"/>
      <c r="AA417" s="101"/>
      <c r="AB417" s="101"/>
      <c r="AC417" s="101"/>
      <c r="AD417" s="101"/>
      <c r="AE417" s="101"/>
      <c r="AF417" s="101"/>
      <c r="AG417" s="101"/>
      <c r="AH417" s="101"/>
      <c r="AI417" s="101"/>
      <c r="AJ417" s="101"/>
      <c r="AK417" s="101"/>
      <c r="AL417" s="101"/>
      <c r="AM417" s="101"/>
      <c r="AN417" s="101"/>
      <c r="AO417" s="101"/>
    </row>
    <row r="418" spans="1:41">
      <c r="A418" s="115"/>
      <c r="B418" s="116"/>
      <c r="C418" s="117"/>
      <c r="D418" s="116"/>
      <c r="E418" s="101"/>
      <c r="F418" s="101"/>
      <c r="G418" s="101"/>
      <c r="H418" s="101"/>
      <c r="I418" s="101"/>
      <c r="J418" s="101"/>
      <c r="K418" s="101"/>
      <c r="L418" s="101"/>
      <c r="M418" s="101"/>
      <c r="N418" s="101"/>
      <c r="O418" s="101"/>
      <c r="P418" s="101"/>
      <c r="Q418" s="101"/>
      <c r="R418" s="101"/>
      <c r="S418" s="101"/>
      <c r="T418" s="101"/>
      <c r="U418" s="101"/>
      <c r="V418" s="101"/>
      <c r="W418" s="101"/>
      <c r="X418" s="101"/>
      <c r="Y418" s="101"/>
      <c r="Z418" s="101"/>
      <c r="AA418" s="101"/>
      <c r="AB418" s="101"/>
      <c r="AC418" s="101"/>
      <c r="AD418" s="101"/>
      <c r="AE418" s="101"/>
      <c r="AF418" s="101"/>
      <c r="AG418" s="101"/>
      <c r="AH418" s="101"/>
      <c r="AI418" s="101"/>
      <c r="AJ418" s="101"/>
      <c r="AK418" s="101"/>
      <c r="AL418" s="101"/>
      <c r="AM418" s="101"/>
      <c r="AN418" s="101"/>
      <c r="AO418" s="101"/>
    </row>
    <row r="419" spans="1:41">
      <c r="A419" s="115"/>
      <c r="B419" s="116"/>
      <c r="C419" s="117"/>
      <c r="D419" s="116"/>
      <c r="E419" s="101"/>
      <c r="F419" s="101"/>
      <c r="G419" s="101"/>
      <c r="H419" s="101"/>
      <c r="I419" s="101"/>
      <c r="J419" s="101"/>
      <c r="K419" s="101"/>
      <c r="L419" s="101"/>
      <c r="M419" s="101"/>
      <c r="N419" s="101"/>
      <c r="O419" s="101"/>
      <c r="P419" s="101"/>
      <c r="Q419" s="101"/>
      <c r="R419" s="101"/>
      <c r="S419" s="101"/>
      <c r="T419" s="101"/>
      <c r="U419" s="101"/>
      <c r="V419" s="101"/>
      <c r="W419" s="101"/>
      <c r="X419" s="101"/>
      <c r="Y419" s="101"/>
      <c r="Z419" s="101"/>
      <c r="AA419" s="101"/>
      <c r="AB419" s="101"/>
      <c r="AC419" s="101"/>
      <c r="AD419" s="101"/>
      <c r="AE419" s="101"/>
      <c r="AF419" s="101"/>
      <c r="AG419" s="101"/>
      <c r="AH419" s="101"/>
      <c r="AI419" s="101"/>
      <c r="AJ419" s="101"/>
      <c r="AK419" s="101"/>
      <c r="AL419" s="101"/>
      <c r="AM419" s="101"/>
      <c r="AN419" s="101"/>
      <c r="AO419" s="101"/>
    </row>
    <row r="420" spans="1:41">
      <c r="A420" s="115"/>
      <c r="B420" s="116"/>
      <c r="C420" s="117"/>
      <c r="D420" s="116"/>
      <c r="E420" s="101"/>
      <c r="F420" s="101"/>
      <c r="G420" s="101"/>
      <c r="H420" s="101"/>
      <c r="I420" s="101"/>
      <c r="J420" s="101"/>
      <c r="K420" s="101"/>
      <c r="L420" s="101"/>
      <c r="M420" s="101"/>
      <c r="N420" s="101"/>
      <c r="O420" s="101"/>
      <c r="P420" s="101"/>
      <c r="Q420" s="101"/>
      <c r="R420" s="101"/>
      <c r="S420" s="101"/>
      <c r="T420" s="101"/>
      <c r="U420" s="101"/>
      <c r="V420" s="101"/>
      <c r="W420" s="101"/>
      <c r="X420" s="101"/>
      <c r="Y420" s="101"/>
      <c r="Z420" s="101"/>
      <c r="AA420" s="101"/>
      <c r="AB420" s="101"/>
      <c r="AC420" s="101"/>
      <c r="AD420" s="101"/>
      <c r="AE420" s="101"/>
      <c r="AF420" s="101"/>
      <c r="AG420" s="101"/>
      <c r="AH420" s="101"/>
      <c r="AI420" s="101"/>
      <c r="AJ420" s="101"/>
      <c r="AK420" s="101"/>
      <c r="AL420" s="101"/>
      <c r="AM420" s="101"/>
      <c r="AN420" s="101"/>
      <c r="AO420" s="101"/>
    </row>
    <row r="421" spans="1:41">
      <c r="A421" s="115"/>
      <c r="B421" s="116"/>
      <c r="C421" s="117"/>
      <c r="D421" s="116"/>
      <c r="E421" s="101"/>
      <c r="F421" s="101"/>
      <c r="G421" s="101"/>
      <c r="H421" s="101"/>
      <c r="I421" s="101"/>
      <c r="J421" s="101"/>
      <c r="K421" s="101"/>
      <c r="L421" s="101"/>
      <c r="M421" s="101"/>
      <c r="N421" s="101"/>
      <c r="O421" s="101"/>
      <c r="P421" s="101"/>
      <c r="Q421" s="101"/>
      <c r="R421" s="101"/>
      <c r="S421" s="101"/>
      <c r="T421" s="101"/>
      <c r="U421" s="101"/>
      <c r="V421" s="101"/>
      <c r="W421" s="101"/>
      <c r="X421" s="101"/>
      <c r="Y421" s="101"/>
      <c r="Z421" s="101"/>
      <c r="AA421" s="101"/>
      <c r="AB421" s="101"/>
      <c r="AC421" s="101"/>
      <c r="AD421" s="101"/>
      <c r="AE421" s="101"/>
      <c r="AF421" s="101"/>
      <c r="AG421" s="101"/>
      <c r="AH421" s="101"/>
      <c r="AI421" s="101"/>
      <c r="AJ421" s="101"/>
      <c r="AK421" s="101"/>
      <c r="AL421" s="101"/>
      <c r="AM421" s="101"/>
      <c r="AN421" s="101"/>
      <c r="AO421" s="101"/>
    </row>
    <row r="422" spans="1:41">
      <c r="A422" s="115"/>
      <c r="B422" s="116"/>
      <c r="C422" s="117"/>
      <c r="D422" s="116"/>
      <c r="E422" s="101"/>
      <c r="F422" s="101"/>
      <c r="G422" s="101"/>
      <c r="H422" s="101"/>
      <c r="I422" s="101"/>
      <c r="J422" s="101"/>
      <c r="K422" s="101"/>
      <c r="L422" s="101"/>
      <c r="M422" s="101"/>
      <c r="N422" s="101"/>
      <c r="O422" s="101"/>
      <c r="P422" s="101"/>
      <c r="Q422" s="101"/>
      <c r="R422" s="101"/>
      <c r="S422" s="101"/>
      <c r="T422" s="101"/>
      <c r="U422" s="101"/>
      <c r="V422" s="101"/>
      <c r="W422" s="101"/>
      <c r="X422" s="101"/>
      <c r="Y422" s="101"/>
      <c r="Z422" s="101"/>
      <c r="AA422" s="101"/>
      <c r="AB422" s="101"/>
      <c r="AC422" s="101"/>
      <c r="AD422" s="101"/>
      <c r="AE422" s="101"/>
      <c r="AF422" s="101"/>
      <c r="AG422" s="101"/>
      <c r="AH422" s="101"/>
      <c r="AI422" s="101"/>
      <c r="AJ422" s="101"/>
      <c r="AK422" s="101"/>
      <c r="AL422" s="101"/>
      <c r="AM422" s="101"/>
      <c r="AN422" s="101"/>
      <c r="AO422" s="101"/>
    </row>
    <row r="423" spans="1:41">
      <c r="A423" s="115"/>
      <c r="B423" s="116"/>
      <c r="C423" s="117"/>
      <c r="D423" s="116"/>
      <c r="E423" s="101"/>
      <c r="F423" s="101"/>
      <c r="G423" s="101"/>
      <c r="H423" s="101"/>
      <c r="I423" s="101"/>
      <c r="J423" s="101"/>
      <c r="K423" s="101"/>
      <c r="L423" s="101"/>
      <c r="M423" s="101"/>
      <c r="N423" s="101"/>
      <c r="O423" s="101"/>
      <c r="P423" s="101"/>
      <c r="Q423" s="101"/>
      <c r="R423" s="101"/>
      <c r="S423" s="101"/>
      <c r="T423" s="101"/>
      <c r="U423" s="101"/>
      <c r="V423" s="101"/>
      <c r="W423" s="101"/>
      <c r="X423" s="101"/>
      <c r="Y423" s="101"/>
      <c r="Z423" s="101"/>
      <c r="AA423" s="101"/>
      <c r="AB423" s="101"/>
      <c r="AC423" s="101"/>
      <c r="AD423" s="101"/>
      <c r="AE423" s="101"/>
      <c r="AF423" s="101"/>
      <c r="AG423" s="101"/>
      <c r="AH423" s="101"/>
      <c r="AI423" s="101"/>
      <c r="AJ423" s="101"/>
      <c r="AK423" s="101"/>
      <c r="AL423" s="101"/>
      <c r="AM423" s="101"/>
      <c r="AN423" s="101"/>
      <c r="AO423" s="101"/>
    </row>
    <row r="424" spans="1:41">
      <c r="A424" s="115"/>
      <c r="B424" s="116"/>
      <c r="C424" s="117"/>
      <c r="D424" s="116"/>
      <c r="E424" s="101"/>
      <c r="F424" s="101"/>
      <c r="G424" s="101"/>
      <c r="H424" s="101"/>
      <c r="I424" s="101"/>
      <c r="J424" s="101"/>
      <c r="K424" s="101"/>
      <c r="L424" s="101"/>
      <c r="M424" s="101"/>
      <c r="N424" s="101"/>
      <c r="O424" s="101"/>
      <c r="P424" s="101"/>
      <c r="Q424" s="101"/>
      <c r="R424" s="101"/>
      <c r="S424" s="101"/>
      <c r="T424" s="101"/>
      <c r="U424" s="101"/>
      <c r="V424" s="101"/>
      <c r="W424" s="101"/>
      <c r="X424" s="101"/>
      <c r="Y424" s="101"/>
      <c r="Z424" s="101"/>
      <c r="AA424" s="101"/>
      <c r="AB424" s="101"/>
      <c r="AC424" s="101"/>
      <c r="AD424" s="101"/>
      <c r="AE424" s="101"/>
      <c r="AF424" s="101"/>
      <c r="AG424" s="101"/>
      <c r="AH424" s="101"/>
      <c r="AI424" s="101"/>
      <c r="AJ424" s="101"/>
      <c r="AK424" s="101"/>
      <c r="AL424" s="101"/>
      <c r="AM424" s="101"/>
      <c r="AN424" s="101"/>
      <c r="AO424" s="101"/>
    </row>
    <row r="425" spans="1:41">
      <c r="A425" s="115"/>
      <c r="B425" s="116"/>
      <c r="C425" s="117"/>
      <c r="D425" s="116"/>
      <c r="E425" s="101"/>
      <c r="F425" s="101"/>
      <c r="G425" s="101"/>
      <c r="H425" s="101"/>
      <c r="I425" s="101"/>
      <c r="J425" s="101"/>
      <c r="K425" s="101"/>
      <c r="L425" s="101"/>
      <c r="M425" s="101"/>
      <c r="N425" s="101"/>
      <c r="O425" s="101"/>
      <c r="P425" s="101"/>
      <c r="Q425" s="101"/>
      <c r="R425" s="101"/>
      <c r="S425" s="101"/>
      <c r="T425" s="101"/>
      <c r="U425" s="101"/>
      <c r="V425" s="101"/>
      <c r="W425" s="101"/>
      <c r="X425" s="101"/>
      <c r="Y425" s="101"/>
      <c r="Z425" s="101"/>
      <c r="AA425" s="101"/>
      <c r="AB425" s="101"/>
      <c r="AC425" s="101"/>
      <c r="AD425" s="101"/>
      <c r="AE425" s="101"/>
      <c r="AF425" s="101"/>
      <c r="AG425" s="101"/>
      <c r="AH425" s="101"/>
      <c r="AI425" s="101"/>
      <c r="AJ425" s="101"/>
      <c r="AK425" s="101"/>
      <c r="AL425" s="101"/>
      <c r="AM425" s="101"/>
      <c r="AN425" s="101"/>
      <c r="AO425" s="101"/>
    </row>
    <row r="426" spans="1:41">
      <c r="A426" s="115"/>
      <c r="B426" s="116"/>
      <c r="C426" s="117"/>
      <c r="D426" s="116"/>
      <c r="E426" s="101"/>
      <c r="F426" s="101"/>
      <c r="G426" s="101"/>
      <c r="H426" s="101"/>
      <c r="I426" s="101"/>
      <c r="J426" s="101"/>
      <c r="K426" s="101"/>
      <c r="L426" s="101"/>
      <c r="M426" s="101"/>
      <c r="N426" s="101"/>
      <c r="O426" s="101"/>
      <c r="P426" s="101"/>
      <c r="Q426" s="101"/>
      <c r="R426" s="101"/>
      <c r="S426" s="101"/>
      <c r="T426" s="101"/>
      <c r="U426" s="101"/>
      <c r="V426" s="101"/>
      <c r="W426" s="101"/>
      <c r="X426" s="101"/>
      <c r="Y426" s="101"/>
      <c r="Z426" s="101"/>
      <c r="AA426" s="101"/>
      <c r="AB426" s="101"/>
      <c r="AC426" s="101"/>
      <c r="AD426" s="101"/>
      <c r="AE426" s="101"/>
      <c r="AF426" s="101"/>
      <c r="AG426" s="101"/>
      <c r="AH426" s="101"/>
      <c r="AI426" s="101"/>
      <c r="AJ426" s="101"/>
      <c r="AK426" s="101"/>
      <c r="AL426" s="101"/>
      <c r="AM426" s="101"/>
      <c r="AN426" s="101"/>
      <c r="AO426" s="101"/>
    </row>
    <row r="427" spans="1:41">
      <c r="A427" s="115"/>
      <c r="B427" s="116"/>
      <c r="C427" s="117"/>
      <c r="D427" s="116"/>
      <c r="E427" s="101"/>
      <c r="F427" s="101"/>
      <c r="G427" s="101"/>
      <c r="H427" s="101"/>
      <c r="I427" s="101"/>
      <c r="J427" s="101"/>
      <c r="K427" s="101"/>
      <c r="L427" s="101"/>
      <c r="M427" s="101"/>
      <c r="N427" s="101"/>
      <c r="O427" s="101"/>
      <c r="P427" s="101"/>
      <c r="Q427" s="101"/>
      <c r="R427" s="101"/>
      <c r="S427" s="101"/>
      <c r="T427" s="101"/>
      <c r="U427" s="101"/>
      <c r="V427" s="101"/>
      <c r="W427" s="101"/>
      <c r="X427" s="101"/>
      <c r="Y427" s="101"/>
      <c r="Z427" s="101"/>
      <c r="AA427" s="101"/>
      <c r="AB427" s="101"/>
      <c r="AC427" s="101"/>
      <c r="AD427" s="101"/>
      <c r="AE427" s="101"/>
      <c r="AF427" s="101"/>
      <c r="AG427" s="101"/>
      <c r="AH427" s="101"/>
      <c r="AI427" s="101"/>
      <c r="AJ427" s="101"/>
      <c r="AK427" s="101"/>
      <c r="AL427" s="101"/>
      <c r="AM427" s="101"/>
      <c r="AN427" s="101"/>
      <c r="AO427" s="101"/>
    </row>
    <row r="428" spans="1:41">
      <c r="A428" s="115"/>
      <c r="B428" s="116"/>
      <c r="C428" s="117"/>
      <c r="D428" s="116"/>
      <c r="E428" s="101"/>
      <c r="F428" s="101"/>
      <c r="G428" s="101"/>
      <c r="H428" s="101"/>
      <c r="I428" s="101"/>
      <c r="J428" s="101"/>
      <c r="K428" s="101"/>
      <c r="L428" s="101"/>
      <c r="M428" s="101"/>
      <c r="N428" s="101"/>
      <c r="O428" s="101"/>
      <c r="P428" s="101"/>
      <c r="Q428" s="101"/>
      <c r="R428" s="101"/>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row>
    <row r="429" spans="1:41">
      <c r="A429" s="115"/>
      <c r="B429" s="116"/>
      <c r="C429" s="117"/>
      <c r="D429" s="116"/>
      <c r="E429" s="101"/>
      <c r="F429" s="101"/>
      <c r="G429" s="101"/>
      <c r="H429" s="101"/>
      <c r="I429" s="101"/>
      <c r="J429" s="101"/>
      <c r="K429" s="101"/>
      <c r="L429" s="101"/>
      <c r="M429" s="101"/>
      <c r="N429" s="101"/>
      <c r="O429" s="101"/>
      <c r="P429" s="101"/>
      <c r="Q429" s="101"/>
      <c r="R429" s="101"/>
      <c r="S429" s="101"/>
      <c r="T429" s="101"/>
      <c r="U429" s="101"/>
      <c r="V429" s="101"/>
      <c r="W429" s="101"/>
      <c r="X429" s="101"/>
      <c r="Y429" s="101"/>
      <c r="Z429" s="101"/>
      <c r="AA429" s="101"/>
      <c r="AB429" s="101"/>
      <c r="AC429" s="101"/>
      <c r="AD429" s="101"/>
      <c r="AE429" s="101"/>
      <c r="AF429" s="101"/>
      <c r="AG429" s="101"/>
      <c r="AH429" s="101"/>
      <c r="AI429" s="101"/>
      <c r="AJ429" s="101"/>
      <c r="AK429" s="101"/>
      <c r="AL429" s="101"/>
      <c r="AM429" s="101"/>
      <c r="AN429" s="101"/>
      <c r="AO429" s="101"/>
    </row>
    <row r="430" spans="1:41">
      <c r="A430" s="115"/>
      <c r="B430" s="116"/>
      <c r="C430" s="117"/>
      <c r="D430" s="116"/>
      <c r="E430" s="101"/>
      <c r="F430" s="101"/>
      <c r="G430" s="101"/>
      <c r="H430" s="101"/>
      <c r="I430" s="101"/>
      <c r="J430" s="101"/>
      <c r="K430" s="101"/>
      <c r="L430" s="101"/>
      <c r="M430" s="101"/>
      <c r="N430" s="101"/>
      <c r="O430" s="101"/>
      <c r="P430" s="101"/>
      <c r="Q430" s="101"/>
      <c r="R430" s="101"/>
      <c r="S430" s="101"/>
      <c r="T430" s="101"/>
      <c r="U430" s="101"/>
      <c r="V430" s="101"/>
      <c r="W430" s="101"/>
      <c r="X430" s="101"/>
      <c r="Y430" s="101"/>
      <c r="Z430" s="101"/>
      <c r="AA430" s="101"/>
      <c r="AB430" s="101"/>
      <c r="AC430" s="101"/>
      <c r="AD430" s="101"/>
      <c r="AE430" s="101"/>
      <c r="AF430" s="101"/>
      <c r="AG430" s="101"/>
      <c r="AH430" s="101"/>
      <c r="AI430" s="101"/>
      <c r="AJ430" s="101"/>
      <c r="AK430" s="101"/>
      <c r="AL430" s="101"/>
      <c r="AM430" s="101"/>
      <c r="AN430" s="101"/>
      <c r="AO430" s="101"/>
    </row>
    <row r="431" spans="1:41">
      <c r="A431" s="115"/>
      <c r="B431" s="116"/>
      <c r="C431" s="117"/>
      <c r="D431" s="116"/>
      <c r="E431" s="101"/>
      <c r="F431" s="101"/>
      <c r="G431" s="101"/>
      <c r="H431" s="101"/>
      <c r="I431" s="101"/>
      <c r="J431" s="101"/>
      <c r="K431" s="101"/>
      <c r="L431" s="101"/>
      <c r="M431" s="101"/>
      <c r="N431" s="101"/>
      <c r="O431" s="101"/>
      <c r="P431" s="101"/>
      <c r="Q431" s="101"/>
      <c r="R431" s="101"/>
      <c r="S431" s="101"/>
      <c r="T431" s="101"/>
      <c r="U431" s="101"/>
      <c r="V431" s="101"/>
      <c r="W431" s="101"/>
      <c r="X431" s="101"/>
      <c r="Y431" s="101"/>
      <c r="Z431" s="101"/>
      <c r="AA431" s="101"/>
      <c r="AB431" s="101"/>
      <c r="AC431" s="101"/>
      <c r="AD431" s="101"/>
      <c r="AE431" s="101"/>
      <c r="AF431" s="101"/>
      <c r="AG431" s="101"/>
      <c r="AH431" s="101"/>
      <c r="AI431" s="101"/>
      <c r="AJ431" s="101"/>
      <c r="AK431" s="101"/>
      <c r="AL431" s="101"/>
      <c r="AM431" s="101"/>
      <c r="AN431" s="101"/>
      <c r="AO431" s="101"/>
    </row>
    <row r="432" spans="1:41">
      <c r="A432" s="115"/>
      <c r="B432" s="116"/>
      <c r="C432" s="117"/>
      <c r="D432" s="116"/>
      <c r="E432" s="101"/>
      <c r="F432" s="101"/>
      <c r="G432" s="101"/>
      <c r="H432" s="101"/>
      <c r="I432" s="101"/>
      <c r="J432" s="101"/>
      <c r="K432" s="101"/>
      <c r="L432" s="101"/>
      <c r="M432" s="101"/>
      <c r="N432" s="101"/>
      <c r="O432" s="101"/>
      <c r="P432" s="101"/>
      <c r="Q432" s="101"/>
      <c r="R432" s="101"/>
      <c r="S432" s="101"/>
      <c r="T432" s="101"/>
      <c r="U432" s="101"/>
      <c r="V432" s="101"/>
      <c r="W432" s="101"/>
      <c r="X432" s="101"/>
      <c r="Y432" s="101"/>
      <c r="Z432" s="101"/>
      <c r="AA432" s="101"/>
      <c r="AB432" s="101"/>
      <c r="AC432" s="101"/>
      <c r="AD432" s="101"/>
      <c r="AE432" s="101"/>
      <c r="AF432" s="101"/>
      <c r="AG432" s="101"/>
      <c r="AH432" s="101"/>
      <c r="AI432" s="101"/>
      <c r="AJ432" s="101"/>
      <c r="AK432" s="101"/>
      <c r="AL432" s="101"/>
      <c r="AM432" s="101"/>
      <c r="AN432" s="101"/>
      <c r="AO432" s="101"/>
    </row>
    <row r="433" spans="1:41">
      <c r="A433" s="115"/>
      <c r="B433" s="116"/>
      <c r="C433" s="117"/>
      <c r="D433" s="116"/>
      <c r="E433" s="101"/>
      <c r="F433" s="101"/>
      <c r="G433" s="101"/>
      <c r="H433" s="101"/>
      <c r="I433" s="101"/>
      <c r="J433" s="101"/>
      <c r="K433" s="101"/>
      <c r="L433" s="101"/>
      <c r="M433" s="101"/>
      <c r="N433" s="101"/>
      <c r="O433" s="101"/>
      <c r="P433" s="101"/>
      <c r="Q433" s="101"/>
      <c r="R433" s="101"/>
      <c r="S433" s="101"/>
      <c r="T433" s="101"/>
      <c r="U433" s="101"/>
      <c r="V433" s="101"/>
      <c r="W433" s="101"/>
      <c r="X433" s="101"/>
      <c r="Y433" s="101"/>
      <c r="Z433" s="101"/>
      <c r="AA433" s="101"/>
      <c r="AB433" s="101"/>
      <c r="AC433" s="101"/>
      <c r="AD433" s="101"/>
      <c r="AE433" s="101"/>
      <c r="AF433" s="101"/>
      <c r="AG433" s="101"/>
      <c r="AH433" s="101"/>
      <c r="AI433" s="101"/>
      <c r="AJ433" s="101"/>
      <c r="AK433" s="101"/>
      <c r="AL433" s="101"/>
      <c r="AM433" s="101"/>
      <c r="AN433" s="101"/>
      <c r="AO433" s="101"/>
    </row>
    <row r="434" spans="1:41">
      <c r="A434" s="115"/>
      <c r="B434" s="116"/>
      <c r="C434" s="117"/>
      <c r="D434" s="116"/>
      <c r="E434" s="101"/>
      <c r="F434" s="101"/>
      <c r="G434" s="101"/>
      <c r="H434" s="101"/>
      <c r="I434" s="101"/>
      <c r="J434" s="101"/>
      <c r="K434" s="101"/>
      <c r="L434" s="101"/>
      <c r="M434" s="101"/>
      <c r="N434" s="101"/>
      <c r="O434" s="101"/>
      <c r="P434" s="101"/>
      <c r="Q434" s="101"/>
      <c r="R434" s="101"/>
      <c r="S434" s="101"/>
      <c r="T434" s="101"/>
      <c r="U434" s="101"/>
      <c r="V434" s="101"/>
      <c r="W434" s="101"/>
      <c r="X434" s="101"/>
      <c r="Y434" s="101"/>
      <c r="Z434" s="101"/>
      <c r="AA434" s="101"/>
      <c r="AB434" s="101"/>
      <c r="AC434" s="101"/>
      <c r="AD434" s="101"/>
      <c r="AE434" s="101"/>
      <c r="AF434" s="101"/>
      <c r="AG434" s="101"/>
      <c r="AH434" s="101"/>
      <c r="AI434" s="101"/>
      <c r="AJ434" s="101"/>
      <c r="AK434" s="101"/>
      <c r="AL434" s="101"/>
      <c r="AM434" s="101"/>
      <c r="AN434" s="101"/>
      <c r="AO434" s="101"/>
    </row>
    <row r="435" spans="1:41">
      <c r="A435" s="115"/>
      <c r="B435" s="116"/>
      <c r="C435" s="117"/>
      <c r="D435" s="116"/>
      <c r="E435" s="101"/>
      <c r="F435" s="101"/>
      <c r="G435" s="101"/>
      <c r="H435" s="101"/>
      <c r="I435" s="101"/>
      <c r="J435" s="101"/>
      <c r="K435" s="101"/>
      <c r="L435" s="101"/>
      <c r="M435" s="101"/>
      <c r="N435" s="101"/>
      <c r="O435" s="101"/>
      <c r="P435" s="101"/>
      <c r="Q435" s="101"/>
      <c r="R435" s="101"/>
      <c r="S435" s="101"/>
      <c r="T435" s="101"/>
      <c r="U435" s="101"/>
      <c r="V435" s="101"/>
      <c r="W435" s="101"/>
      <c r="X435" s="101"/>
      <c r="Y435" s="101"/>
      <c r="Z435" s="101"/>
      <c r="AA435" s="101"/>
      <c r="AB435" s="101"/>
      <c r="AC435" s="101"/>
      <c r="AD435" s="101"/>
      <c r="AE435" s="101"/>
      <c r="AF435" s="101"/>
      <c r="AG435" s="101"/>
      <c r="AH435" s="101"/>
      <c r="AI435" s="101"/>
      <c r="AJ435" s="101"/>
      <c r="AK435" s="101"/>
      <c r="AL435" s="101"/>
      <c r="AM435" s="101"/>
      <c r="AN435" s="101"/>
      <c r="AO435" s="101"/>
    </row>
    <row r="436" spans="1:41">
      <c r="A436" s="115"/>
      <c r="B436" s="116"/>
      <c r="C436" s="117"/>
      <c r="D436" s="116"/>
      <c r="E436" s="101"/>
      <c r="F436" s="101"/>
      <c r="G436" s="101"/>
      <c r="H436" s="101"/>
      <c r="I436" s="101"/>
      <c r="J436" s="101"/>
      <c r="K436" s="101"/>
      <c r="L436" s="101"/>
      <c r="M436" s="101"/>
      <c r="N436" s="101"/>
      <c r="O436" s="101"/>
      <c r="P436" s="101"/>
      <c r="Q436" s="101"/>
      <c r="R436" s="101"/>
      <c r="S436" s="101"/>
      <c r="T436" s="101"/>
      <c r="U436" s="101"/>
      <c r="V436" s="101"/>
      <c r="W436" s="101"/>
      <c r="X436" s="101"/>
      <c r="Y436" s="101"/>
      <c r="Z436" s="101"/>
      <c r="AA436" s="101"/>
      <c r="AB436" s="101"/>
      <c r="AC436" s="101"/>
      <c r="AD436" s="101"/>
      <c r="AE436" s="101"/>
      <c r="AF436" s="101"/>
      <c r="AG436" s="101"/>
      <c r="AH436" s="101"/>
      <c r="AI436" s="101"/>
      <c r="AJ436" s="101"/>
      <c r="AK436" s="101"/>
      <c r="AL436" s="101"/>
      <c r="AM436" s="101"/>
      <c r="AN436" s="101"/>
      <c r="AO436" s="101"/>
    </row>
    <row r="437" spans="1:41">
      <c r="A437" s="115"/>
      <c r="B437" s="116"/>
      <c r="C437" s="117"/>
      <c r="D437" s="116"/>
      <c r="E437" s="101"/>
      <c r="F437" s="101"/>
      <c r="G437" s="101"/>
      <c r="H437" s="101"/>
      <c r="I437" s="101"/>
      <c r="J437" s="101"/>
      <c r="K437" s="101"/>
      <c r="L437" s="101"/>
      <c r="M437" s="101"/>
      <c r="N437" s="101"/>
      <c r="O437" s="101"/>
      <c r="P437" s="101"/>
      <c r="Q437" s="101"/>
      <c r="R437" s="101"/>
      <c r="S437" s="101"/>
      <c r="T437" s="101"/>
      <c r="U437" s="101"/>
      <c r="V437" s="101"/>
      <c r="W437" s="101"/>
      <c r="X437" s="101"/>
      <c r="Y437" s="101"/>
      <c r="Z437" s="101"/>
      <c r="AA437" s="101"/>
      <c r="AB437" s="101"/>
      <c r="AC437" s="101"/>
      <c r="AD437" s="101"/>
      <c r="AE437" s="101"/>
      <c r="AF437" s="101"/>
      <c r="AG437" s="101"/>
      <c r="AH437" s="101"/>
      <c r="AI437" s="101"/>
      <c r="AJ437" s="101"/>
      <c r="AK437" s="101"/>
      <c r="AL437" s="101"/>
      <c r="AM437" s="101"/>
      <c r="AN437" s="101"/>
      <c r="AO437" s="101"/>
    </row>
    <row r="438" spans="1:41">
      <c r="A438" s="115"/>
      <c r="B438" s="116"/>
      <c r="C438" s="117"/>
      <c r="D438" s="116"/>
      <c r="E438" s="101"/>
      <c r="F438" s="101"/>
      <c r="G438" s="101"/>
      <c r="H438" s="101"/>
      <c r="I438" s="101"/>
      <c r="J438" s="101"/>
      <c r="K438" s="101"/>
      <c r="L438" s="101"/>
      <c r="M438" s="101"/>
      <c r="N438" s="101"/>
      <c r="O438" s="101"/>
      <c r="P438" s="101"/>
      <c r="Q438" s="101"/>
      <c r="R438" s="101"/>
      <c r="S438" s="101"/>
      <c r="T438" s="101"/>
      <c r="U438" s="101"/>
      <c r="V438" s="101"/>
      <c r="W438" s="101"/>
      <c r="X438" s="101"/>
      <c r="Y438" s="101"/>
      <c r="Z438" s="101"/>
      <c r="AA438" s="101"/>
      <c r="AB438" s="101"/>
      <c r="AC438" s="101"/>
      <c r="AD438" s="101"/>
      <c r="AE438" s="101"/>
      <c r="AF438" s="101"/>
      <c r="AG438" s="101"/>
      <c r="AH438" s="101"/>
      <c r="AI438" s="101"/>
      <c r="AJ438" s="101"/>
      <c r="AK438" s="101"/>
      <c r="AL438" s="101"/>
      <c r="AM438" s="101"/>
      <c r="AN438" s="101"/>
      <c r="AO438" s="101"/>
    </row>
    <row r="439" spans="1:41">
      <c r="A439" s="115"/>
      <c r="B439" s="116"/>
      <c r="C439" s="117"/>
      <c r="D439" s="116"/>
      <c r="E439" s="101"/>
      <c r="F439" s="101"/>
      <c r="G439" s="101"/>
      <c r="H439" s="101"/>
      <c r="I439" s="101"/>
      <c r="J439" s="101"/>
      <c r="K439" s="101"/>
      <c r="L439" s="101"/>
      <c r="M439" s="101"/>
      <c r="N439" s="101"/>
      <c r="O439" s="101"/>
      <c r="P439" s="101"/>
      <c r="Q439" s="101"/>
      <c r="R439" s="101"/>
      <c r="S439" s="101"/>
      <c r="T439" s="101"/>
      <c r="U439" s="101"/>
      <c r="V439" s="101"/>
      <c r="W439" s="101"/>
      <c r="X439" s="101"/>
      <c r="Y439" s="101"/>
      <c r="Z439" s="101"/>
      <c r="AA439" s="101"/>
      <c r="AB439" s="101"/>
      <c r="AC439" s="101"/>
      <c r="AD439" s="101"/>
      <c r="AE439" s="101"/>
      <c r="AF439" s="101"/>
      <c r="AG439" s="101"/>
      <c r="AH439" s="101"/>
      <c r="AI439" s="101"/>
      <c r="AJ439" s="101"/>
      <c r="AK439" s="101"/>
      <c r="AL439" s="101"/>
      <c r="AM439" s="101"/>
      <c r="AN439" s="101"/>
      <c r="AO439" s="101"/>
    </row>
    <row r="440" spans="1:41">
      <c r="A440" s="115"/>
      <c r="B440" s="116"/>
      <c r="C440" s="117"/>
      <c r="D440" s="116"/>
      <c r="E440" s="101"/>
      <c r="F440" s="101"/>
      <c r="G440" s="101"/>
      <c r="H440" s="101"/>
      <c r="I440" s="101"/>
      <c r="J440" s="101"/>
      <c r="K440" s="101"/>
      <c r="L440" s="101"/>
      <c r="M440" s="101"/>
      <c r="N440" s="101"/>
      <c r="O440" s="101"/>
      <c r="P440" s="101"/>
      <c r="Q440" s="101"/>
      <c r="R440" s="101"/>
      <c r="S440" s="101"/>
      <c r="T440" s="101"/>
      <c r="U440" s="101"/>
      <c r="V440" s="101"/>
      <c r="W440" s="101"/>
      <c r="X440" s="101"/>
      <c r="Y440" s="101"/>
      <c r="Z440" s="101"/>
      <c r="AA440" s="101"/>
      <c r="AB440" s="101"/>
      <c r="AC440" s="101"/>
      <c r="AD440" s="101"/>
      <c r="AE440" s="101"/>
      <c r="AF440" s="101"/>
      <c r="AG440" s="101"/>
      <c r="AH440" s="101"/>
      <c r="AI440" s="101"/>
      <c r="AJ440" s="101"/>
      <c r="AK440" s="101"/>
      <c r="AL440" s="101"/>
      <c r="AM440" s="101"/>
      <c r="AN440" s="101"/>
      <c r="AO440" s="101"/>
    </row>
    <row r="441" spans="1:41">
      <c r="A441" s="115"/>
      <c r="B441" s="116"/>
      <c r="C441" s="117"/>
      <c r="D441" s="116"/>
      <c r="E441" s="101"/>
      <c r="F441" s="101"/>
      <c r="G441" s="101"/>
      <c r="H441" s="101"/>
      <c r="I441" s="101"/>
      <c r="J441" s="101"/>
      <c r="K441" s="101"/>
      <c r="L441" s="101"/>
      <c r="M441" s="101"/>
      <c r="N441" s="101"/>
      <c r="O441" s="101"/>
      <c r="P441" s="101"/>
      <c r="Q441" s="101"/>
      <c r="R441" s="101"/>
      <c r="S441" s="101"/>
      <c r="T441" s="101"/>
      <c r="U441" s="101"/>
      <c r="V441" s="101"/>
      <c r="W441" s="101"/>
      <c r="X441" s="101"/>
      <c r="Y441" s="101"/>
      <c r="Z441" s="101"/>
      <c r="AA441" s="101"/>
      <c r="AB441" s="101"/>
      <c r="AC441" s="101"/>
      <c r="AD441" s="101"/>
      <c r="AE441" s="101"/>
      <c r="AF441" s="101"/>
      <c r="AG441" s="101"/>
      <c r="AH441" s="101"/>
      <c r="AI441" s="101"/>
      <c r="AJ441" s="101"/>
      <c r="AK441" s="101"/>
      <c r="AL441" s="101"/>
      <c r="AM441" s="101"/>
      <c r="AN441" s="101"/>
      <c r="AO441" s="101"/>
    </row>
    <row r="442" spans="1:41">
      <c r="A442" s="115"/>
      <c r="B442" s="116"/>
      <c r="C442" s="117"/>
      <c r="D442" s="116"/>
      <c r="E442" s="101"/>
      <c r="F442" s="101"/>
      <c r="G442" s="101"/>
      <c r="H442" s="101"/>
      <c r="I442" s="101"/>
      <c r="J442" s="101"/>
      <c r="K442" s="101"/>
      <c r="L442" s="101"/>
      <c r="M442" s="101"/>
      <c r="N442" s="101"/>
      <c r="O442" s="101"/>
      <c r="P442" s="101"/>
      <c r="Q442" s="101"/>
      <c r="R442" s="101"/>
      <c r="S442" s="101"/>
      <c r="T442" s="101"/>
      <c r="U442" s="101"/>
      <c r="V442" s="101"/>
      <c r="W442" s="101"/>
      <c r="X442" s="101"/>
      <c r="Y442" s="101"/>
      <c r="Z442" s="101"/>
      <c r="AA442" s="101"/>
      <c r="AB442" s="101"/>
      <c r="AC442" s="101"/>
      <c r="AD442" s="101"/>
      <c r="AE442" s="101"/>
      <c r="AF442" s="101"/>
      <c r="AG442" s="101"/>
      <c r="AH442" s="101"/>
      <c r="AI442" s="101"/>
      <c r="AJ442" s="101"/>
      <c r="AK442" s="101"/>
      <c r="AL442" s="101"/>
      <c r="AM442" s="101"/>
      <c r="AN442" s="101"/>
      <c r="AO442" s="101"/>
    </row>
    <row r="443" spans="1:41">
      <c r="A443" s="115"/>
      <c r="B443" s="116"/>
      <c r="C443" s="117"/>
      <c r="D443" s="116"/>
      <c r="E443" s="101"/>
      <c r="F443" s="101"/>
      <c r="G443" s="101"/>
      <c r="H443" s="101"/>
      <c r="I443" s="101"/>
      <c r="J443" s="101"/>
      <c r="K443" s="101"/>
      <c r="L443" s="101"/>
      <c r="M443" s="101"/>
      <c r="N443" s="101"/>
      <c r="O443" s="101"/>
      <c r="P443" s="101"/>
      <c r="Q443" s="101"/>
      <c r="R443" s="101"/>
      <c r="S443" s="101"/>
      <c r="T443" s="101"/>
      <c r="U443" s="101"/>
      <c r="V443" s="101"/>
      <c r="W443" s="101"/>
      <c r="X443" s="101"/>
      <c r="Y443" s="101"/>
      <c r="Z443" s="101"/>
      <c r="AA443" s="101"/>
      <c r="AB443" s="101"/>
      <c r="AC443" s="101"/>
      <c r="AD443" s="101"/>
      <c r="AE443" s="101"/>
      <c r="AF443" s="101"/>
      <c r="AG443" s="101"/>
      <c r="AH443" s="101"/>
      <c r="AI443" s="101"/>
      <c r="AJ443" s="101"/>
      <c r="AK443" s="101"/>
      <c r="AL443" s="101"/>
      <c r="AM443" s="101"/>
      <c r="AN443" s="101"/>
      <c r="AO443" s="101"/>
    </row>
    <row r="444" spans="1:41">
      <c r="A444" s="115"/>
      <c r="B444" s="116"/>
      <c r="C444" s="117"/>
      <c r="D444" s="116"/>
      <c r="E444" s="101"/>
      <c r="F444" s="101"/>
      <c r="G444" s="101"/>
      <c r="H444" s="101"/>
      <c r="I444" s="101"/>
      <c r="J444" s="101"/>
      <c r="K444" s="101"/>
      <c r="L444" s="101"/>
      <c r="M444" s="101"/>
      <c r="N444" s="101"/>
      <c r="O444" s="101"/>
      <c r="P444" s="101"/>
      <c r="Q444" s="101"/>
      <c r="R444" s="101"/>
      <c r="S444" s="101"/>
      <c r="T444" s="101"/>
      <c r="U444" s="101"/>
      <c r="V444" s="101"/>
      <c r="W444" s="101"/>
      <c r="X444" s="101"/>
      <c r="Y444" s="101"/>
      <c r="Z444" s="101"/>
      <c r="AA444" s="101"/>
      <c r="AB444" s="101"/>
      <c r="AC444" s="101"/>
      <c r="AD444" s="101"/>
      <c r="AE444" s="101"/>
      <c r="AF444" s="101"/>
      <c r="AG444" s="101"/>
      <c r="AH444" s="101"/>
      <c r="AI444" s="101"/>
      <c r="AJ444" s="101"/>
      <c r="AK444" s="101"/>
      <c r="AL444" s="101"/>
      <c r="AM444" s="101"/>
      <c r="AN444" s="101"/>
      <c r="AO444" s="101"/>
    </row>
    <row r="445" spans="1:41">
      <c r="A445" s="115"/>
      <c r="B445" s="116"/>
      <c r="C445" s="117"/>
      <c r="D445" s="116"/>
      <c r="E445" s="101"/>
      <c r="F445" s="101"/>
      <c r="G445" s="101"/>
      <c r="H445" s="101"/>
      <c r="I445" s="101"/>
      <c r="J445" s="101"/>
      <c r="K445" s="101"/>
      <c r="L445" s="101"/>
      <c r="M445" s="101"/>
      <c r="N445" s="101"/>
      <c r="O445" s="101"/>
      <c r="P445" s="101"/>
      <c r="Q445" s="101"/>
      <c r="R445" s="101"/>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row>
    <row r="446" spans="1:41">
      <c r="A446" s="115"/>
      <c r="B446" s="116"/>
      <c r="C446" s="117"/>
      <c r="D446" s="116"/>
      <c r="E446" s="101"/>
      <c r="F446" s="101"/>
      <c r="G446" s="101"/>
      <c r="H446" s="101"/>
      <c r="I446" s="101"/>
      <c r="J446" s="101"/>
      <c r="K446" s="101"/>
      <c r="L446" s="101"/>
      <c r="M446" s="101"/>
      <c r="N446" s="101"/>
      <c r="O446" s="101"/>
      <c r="P446" s="101"/>
      <c r="Q446" s="101"/>
      <c r="R446" s="101"/>
      <c r="S446" s="101"/>
      <c r="T446" s="101"/>
      <c r="U446" s="101"/>
      <c r="V446" s="101"/>
      <c r="W446" s="101"/>
      <c r="X446" s="101"/>
      <c r="Y446" s="101"/>
      <c r="Z446" s="101"/>
      <c r="AA446" s="101"/>
      <c r="AB446" s="101"/>
      <c r="AC446" s="101"/>
      <c r="AD446" s="101"/>
      <c r="AE446" s="101"/>
      <c r="AF446" s="101"/>
      <c r="AG446" s="101"/>
      <c r="AH446" s="101"/>
      <c r="AI446" s="101"/>
      <c r="AJ446" s="101"/>
      <c r="AK446" s="101"/>
      <c r="AL446" s="101"/>
      <c r="AM446" s="101"/>
      <c r="AN446" s="101"/>
      <c r="AO446" s="101"/>
    </row>
    <row r="447" spans="1:41">
      <c r="A447" s="115"/>
      <c r="B447" s="116"/>
      <c r="C447" s="117"/>
      <c r="D447" s="116"/>
      <c r="E447" s="101"/>
      <c r="F447" s="101"/>
      <c r="G447" s="101"/>
      <c r="H447" s="101"/>
      <c r="I447" s="101"/>
      <c r="J447" s="101"/>
      <c r="K447" s="101"/>
      <c r="L447" s="101"/>
      <c r="M447" s="101"/>
      <c r="N447" s="101"/>
      <c r="O447" s="101"/>
      <c r="P447" s="101"/>
      <c r="Q447" s="101"/>
      <c r="R447" s="101"/>
      <c r="S447" s="101"/>
      <c r="T447" s="101"/>
      <c r="U447" s="101"/>
      <c r="V447" s="101"/>
      <c r="W447" s="101"/>
      <c r="X447" s="101"/>
      <c r="Y447" s="101"/>
      <c r="Z447" s="101"/>
      <c r="AA447" s="101"/>
      <c r="AB447" s="101"/>
      <c r="AC447" s="101"/>
      <c r="AD447" s="101"/>
      <c r="AE447" s="101"/>
      <c r="AF447" s="101"/>
      <c r="AG447" s="101"/>
      <c r="AH447" s="101"/>
      <c r="AI447" s="101"/>
      <c r="AJ447" s="101"/>
      <c r="AK447" s="101"/>
      <c r="AL447" s="101"/>
      <c r="AM447" s="101"/>
      <c r="AN447" s="101"/>
      <c r="AO447" s="101"/>
    </row>
    <row r="448" spans="1:41">
      <c r="A448" s="115"/>
      <c r="B448" s="116"/>
      <c r="C448" s="117"/>
      <c r="D448" s="116"/>
      <c r="E448" s="101"/>
      <c r="F448" s="101"/>
      <c r="G448" s="101"/>
      <c r="H448" s="101"/>
      <c r="I448" s="101"/>
      <c r="J448" s="101"/>
      <c r="K448" s="101"/>
      <c r="L448" s="101"/>
      <c r="M448" s="101"/>
      <c r="N448" s="101"/>
      <c r="O448" s="101"/>
      <c r="P448" s="101"/>
      <c r="Q448" s="101"/>
      <c r="R448" s="101"/>
      <c r="S448" s="101"/>
      <c r="T448" s="101"/>
      <c r="U448" s="101"/>
      <c r="V448" s="101"/>
      <c r="W448" s="101"/>
      <c r="X448" s="101"/>
      <c r="Y448" s="101"/>
      <c r="Z448" s="101"/>
      <c r="AA448" s="101"/>
      <c r="AB448" s="101"/>
      <c r="AC448" s="101"/>
      <c r="AD448" s="101"/>
      <c r="AE448" s="101"/>
      <c r="AF448" s="101"/>
      <c r="AG448" s="101"/>
      <c r="AH448" s="101"/>
      <c r="AI448" s="101"/>
      <c r="AJ448" s="101"/>
      <c r="AK448" s="101"/>
      <c r="AL448" s="101"/>
      <c r="AM448" s="101"/>
      <c r="AN448" s="101"/>
      <c r="AO448" s="101"/>
    </row>
    <row r="449" spans="1:41">
      <c r="A449" s="115"/>
      <c r="B449" s="116"/>
      <c r="C449" s="117"/>
      <c r="D449" s="116"/>
      <c r="E449" s="101"/>
      <c r="F449" s="101"/>
      <c r="G449" s="101"/>
      <c r="H449" s="101"/>
      <c r="I449" s="101"/>
      <c r="J449" s="101"/>
      <c r="K449" s="101"/>
      <c r="L449" s="101"/>
      <c r="M449" s="101"/>
      <c r="N449" s="101"/>
      <c r="O449" s="101"/>
      <c r="P449" s="101"/>
      <c r="Q449" s="101"/>
      <c r="R449" s="101"/>
      <c r="S449" s="101"/>
      <c r="T449" s="101"/>
      <c r="U449" s="101"/>
      <c r="V449" s="101"/>
      <c r="W449" s="101"/>
      <c r="X449" s="101"/>
      <c r="Y449" s="101"/>
      <c r="Z449" s="101"/>
      <c r="AA449" s="101"/>
      <c r="AB449" s="101"/>
      <c r="AC449" s="101"/>
      <c r="AD449" s="101"/>
      <c r="AE449" s="101"/>
      <c r="AF449" s="101"/>
      <c r="AG449" s="101"/>
      <c r="AH449" s="101"/>
      <c r="AI449" s="101"/>
      <c r="AJ449" s="101"/>
      <c r="AK449" s="101"/>
      <c r="AL449" s="101"/>
      <c r="AM449" s="101"/>
      <c r="AN449" s="101"/>
      <c r="AO449" s="101"/>
    </row>
    <row r="450" spans="1:41">
      <c r="A450" s="115"/>
      <c r="B450" s="116"/>
      <c r="C450" s="117"/>
      <c r="D450" s="116"/>
      <c r="E450" s="101"/>
      <c r="F450" s="101"/>
      <c r="G450" s="101"/>
      <c r="H450" s="101"/>
      <c r="I450" s="101"/>
      <c r="J450" s="101"/>
      <c r="K450" s="101"/>
      <c r="L450" s="101"/>
      <c r="M450" s="101"/>
      <c r="N450" s="101"/>
      <c r="O450" s="101"/>
      <c r="P450" s="101"/>
      <c r="Q450" s="101"/>
      <c r="R450" s="101"/>
      <c r="S450" s="101"/>
      <c r="T450" s="101"/>
      <c r="U450" s="101"/>
      <c r="V450" s="101"/>
      <c r="W450" s="101"/>
      <c r="X450" s="101"/>
      <c r="Y450" s="101"/>
      <c r="Z450" s="101"/>
      <c r="AA450" s="101"/>
      <c r="AB450" s="101"/>
      <c r="AC450" s="101"/>
      <c r="AD450" s="101"/>
      <c r="AE450" s="101"/>
      <c r="AF450" s="101"/>
      <c r="AG450" s="101"/>
      <c r="AH450" s="101"/>
      <c r="AI450" s="101"/>
      <c r="AJ450" s="101"/>
      <c r="AK450" s="101"/>
      <c r="AL450" s="101"/>
      <c r="AM450" s="101"/>
      <c r="AN450" s="101"/>
      <c r="AO450" s="101"/>
    </row>
    <row r="451" spans="1:41">
      <c r="A451" s="115"/>
      <c r="B451" s="116"/>
      <c r="C451" s="117"/>
      <c r="D451" s="116"/>
      <c r="E451" s="101"/>
      <c r="F451" s="101"/>
      <c r="G451" s="101"/>
      <c r="H451" s="101"/>
      <c r="I451" s="101"/>
      <c r="J451" s="101"/>
      <c r="K451" s="101"/>
      <c r="L451" s="101"/>
      <c r="M451" s="101"/>
      <c r="N451" s="101"/>
      <c r="O451" s="101"/>
      <c r="P451" s="101"/>
      <c r="Q451" s="101"/>
      <c r="R451" s="101"/>
      <c r="S451" s="101"/>
      <c r="T451" s="101"/>
      <c r="U451" s="101"/>
      <c r="V451" s="101"/>
      <c r="W451" s="101"/>
      <c r="X451" s="101"/>
      <c r="Y451" s="101"/>
      <c r="Z451" s="101"/>
      <c r="AA451" s="101"/>
      <c r="AB451" s="101"/>
      <c r="AC451" s="101"/>
      <c r="AD451" s="101"/>
      <c r="AE451" s="101"/>
      <c r="AF451" s="101"/>
      <c r="AG451" s="101"/>
      <c r="AH451" s="101"/>
      <c r="AI451" s="101"/>
      <c r="AJ451" s="101"/>
      <c r="AK451" s="101"/>
      <c r="AL451" s="101"/>
      <c r="AM451" s="101"/>
      <c r="AN451" s="101"/>
      <c r="AO451" s="101"/>
    </row>
    <row r="452" spans="1:41">
      <c r="A452" s="115"/>
      <c r="B452" s="116"/>
      <c r="C452" s="117"/>
      <c r="D452" s="116"/>
      <c r="E452" s="101"/>
      <c r="F452" s="101"/>
      <c r="G452" s="101"/>
      <c r="H452" s="101"/>
      <c r="I452" s="101"/>
      <c r="J452" s="101"/>
      <c r="K452" s="101"/>
      <c r="L452" s="101"/>
      <c r="M452" s="101"/>
      <c r="N452" s="101"/>
      <c r="O452" s="101"/>
      <c r="P452" s="101"/>
      <c r="Q452" s="101"/>
      <c r="R452" s="101"/>
      <c r="S452" s="101"/>
      <c r="T452" s="101"/>
      <c r="U452" s="101"/>
      <c r="V452" s="101"/>
      <c r="W452" s="101"/>
      <c r="X452" s="101"/>
      <c r="Y452" s="101"/>
      <c r="Z452" s="101"/>
      <c r="AA452" s="101"/>
      <c r="AB452" s="101"/>
      <c r="AC452" s="101"/>
      <c r="AD452" s="101"/>
      <c r="AE452" s="101"/>
      <c r="AF452" s="101"/>
      <c r="AG452" s="101"/>
      <c r="AH452" s="101"/>
      <c r="AI452" s="101"/>
      <c r="AJ452" s="101"/>
      <c r="AK452" s="101"/>
      <c r="AL452" s="101"/>
      <c r="AM452" s="101"/>
      <c r="AN452" s="101"/>
      <c r="AO452" s="101"/>
    </row>
    <row r="453" spans="1:41">
      <c r="A453" s="115"/>
      <c r="B453" s="116"/>
      <c r="C453" s="117"/>
      <c r="D453" s="116"/>
      <c r="E453" s="101"/>
      <c r="F453" s="101"/>
      <c r="G453" s="101"/>
      <c r="H453" s="101"/>
      <c r="I453" s="101"/>
      <c r="J453" s="101"/>
      <c r="K453" s="101"/>
      <c r="L453" s="101"/>
      <c r="M453" s="101"/>
      <c r="N453" s="101"/>
      <c r="O453" s="101"/>
      <c r="P453" s="101"/>
      <c r="Q453" s="101"/>
      <c r="R453" s="101"/>
      <c r="S453" s="101"/>
      <c r="T453" s="101"/>
      <c r="U453" s="101"/>
      <c r="V453" s="101"/>
      <c r="W453" s="101"/>
      <c r="X453" s="101"/>
      <c r="Y453" s="101"/>
      <c r="Z453" s="101"/>
      <c r="AA453" s="101"/>
      <c r="AB453" s="101"/>
      <c r="AC453" s="101"/>
      <c r="AD453" s="101"/>
      <c r="AE453" s="101"/>
      <c r="AF453" s="101"/>
      <c r="AG453" s="101"/>
      <c r="AH453" s="101"/>
      <c r="AI453" s="101"/>
      <c r="AJ453" s="101"/>
      <c r="AK453" s="101"/>
      <c r="AL453" s="101"/>
      <c r="AM453" s="101"/>
      <c r="AN453" s="101"/>
      <c r="AO453" s="101"/>
    </row>
    <row r="454" spans="1:41">
      <c r="A454" s="115"/>
      <c r="B454" s="116"/>
      <c r="C454" s="117"/>
      <c r="D454" s="116"/>
      <c r="E454" s="101"/>
      <c r="F454" s="101"/>
      <c r="G454" s="101"/>
      <c r="H454" s="101"/>
      <c r="I454" s="101"/>
      <c r="J454" s="101"/>
      <c r="K454" s="101"/>
      <c r="L454" s="101"/>
      <c r="M454" s="101"/>
      <c r="N454" s="101"/>
      <c r="O454" s="101"/>
      <c r="P454" s="101"/>
      <c r="Q454" s="101"/>
      <c r="R454" s="101"/>
      <c r="S454" s="101"/>
      <c r="T454" s="101"/>
      <c r="U454" s="101"/>
      <c r="V454" s="101"/>
      <c r="W454" s="101"/>
      <c r="X454" s="101"/>
      <c r="Y454" s="101"/>
      <c r="Z454" s="101"/>
      <c r="AA454" s="101"/>
      <c r="AB454" s="101"/>
      <c r="AC454" s="101"/>
      <c r="AD454" s="101"/>
      <c r="AE454" s="101"/>
      <c r="AF454" s="101"/>
      <c r="AG454" s="101"/>
      <c r="AH454" s="101"/>
      <c r="AI454" s="101"/>
      <c r="AJ454" s="101"/>
      <c r="AK454" s="101"/>
      <c r="AL454" s="101"/>
      <c r="AM454" s="101"/>
      <c r="AN454" s="101"/>
      <c r="AO454" s="101"/>
    </row>
    <row r="455" spans="1:41">
      <c r="A455" s="115"/>
      <c r="B455" s="116"/>
      <c r="C455" s="117"/>
      <c r="D455" s="116"/>
      <c r="E455" s="101"/>
      <c r="F455" s="101"/>
      <c r="G455" s="101"/>
      <c r="H455" s="101"/>
      <c r="I455" s="101"/>
      <c r="J455" s="101"/>
      <c r="K455" s="101"/>
      <c r="L455" s="101"/>
      <c r="M455" s="101"/>
      <c r="N455" s="101"/>
      <c r="O455" s="101"/>
      <c r="P455" s="101"/>
      <c r="Q455" s="101"/>
      <c r="R455" s="101"/>
      <c r="S455" s="101"/>
      <c r="T455" s="101"/>
      <c r="U455" s="101"/>
      <c r="V455" s="101"/>
      <c r="W455" s="101"/>
      <c r="X455" s="101"/>
      <c r="Y455" s="101"/>
      <c r="Z455" s="101"/>
      <c r="AA455" s="101"/>
      <c r="AB455" s="101"/>
      <c r="AC455" s="101"/>
      <c r="AD455" s="101"/>
      <c r="AE455" s="101"/>
      <c r="AF455" s="101"/>
      <c r="AG455" s="101"/>
      <c r="AH455" s="101"/>
      <c r="AI455" s="101"/>
      <c r="AJ455" s="101"/>
      <c r="AK455" s="101"/>
      <c r="AL455" s="101"/>
      <c r="AM455" s="101"/>
      <c r="AN455" s="101"/>
      <c r="AO455" s="101"/>
    </row>
    <row r="456" spans="1:41">
      <c r="A456" s="115"/>
      <c r="B456" s="116"/>
      <c r="C456" s="117"/>
      <c r="D456" s="116"/>
      <c r="E456" s="101"/>
      <c r="F456" s="101"/>
      <c r="G456" s="101"/>
      <c r="H456" s="101"/>
      <c r="I456" s="101"/>
      <c r="J456" s="101"/>
      <c r="K456" s="101"/>
      <c r="L456" s="101"/>
      <c r="M456" s="101"/>
      <c r="N456" s="101"/>
      <c r="O456" s="101"/>
      <c r="P456" s="101"/>
      <c r="Q456" s="101"/>
      <c r="R456" s="101"/>
      <c r="S456" s="101"/>
      <c r="T456" s="101"/>
      <c r="U456" s="101"/>
      <c r="V456" s="101"/>
      <c r="W456" s="101"/>
      <c r="X456" s="101"/>
      <c r="Y456" s="101"/>
      <c r="Z456" s="101"/>
      <c r="AA456" s="101"/>
      <c r="AB456" s="101"/>
      <c r="AC456" s="101"/>
      <c r="AD456" s="101"/>
      <c r="AE456" s="101"/>
      <c r="AF456" s="101"/>
      <c r="AG456" s="101"/>
      <c r="AH456" s="101"/>
      <c r="AI456" s="101"/>
      <c r="AJ456" s="101"/>
      <c r="AK456" s="101"/>
      <c r="AL456" s="101"/>
      <c r="AM456" s="101"/>
      <c r="AN456" s="101"/>
      <c r="AO456" s="101"/>
    </row>
    <row r="457" spans="1:41">
      <c r="A457" s="115"/>
      <c r="B457" s="116"/>
      <c r="C457" s="117"/>
      <c r="D457" s="116"/>
      <c r="E457" s="101"/>
      <c r="F457" s="101"/>
      <c r="G457" s="101"/>
      <c r="H457" s="101"/>
      <c r="I457" s="101"/>
      <c r="J457" s="101"/>
      <c r="K457" s="101"/>
      <c r="L457" s="101"/>
      <c r="M457" s="101"/>
      <c r="N457" s="101"/>
      <c r="O457" s="101"/>
      <c r="P457" s="101"/>
      <c r="Q457" s="101"/>
      <c r="R457" s="101"/>
      <c r="S457" s="101"/>
      <c r="T457" s="101"/>
      <c r="U457" s="101"/>
      <c r="V457" s="101"/>
      <c r="W457" s="101"/>
      <c r="X457" s="101"/>
      <c r="Y457" s="101"/>
      <c r="Z457" s="101"/>
      <c r="AA457" s="101"/>
      <c r="AB457" s="101"/>
      <c r="AC457" s="101"/>
      <c r="AD457" s="101"/>
      <c r="AE457" s="101"/>
      <c r="AF457" s="101"/>
      <c r="AG457" s="101"/>
      <c r="AH457" s="101"/>
      <c r="AI457" s="101"/>
      <c r="AJ457" s="101"/>
      <c r="AK457" s="101"/>
      <c r="AL457" s="101"/>
      <c r="AM457" s="101"/>
      <c r="AN457" s="101"/>
      <c r="AO457" s="101"/>
    </row>
    <row r="458" spans="1:41">
      <c r="A458" s="115"/>
      <c r="B458" s="116"/>
      <c r="C458" s="117"/>
      <c r="D458" s="116"/>
      <c r="E458" s="101"/>
      <c r="F458" s="101"/>
      <c r="G458" s="101"/>
      <c r="H458" s="101"/>
      <c r="I458" s="101"/>
      <c r="J458" s="101"/>
      <c r="K458" s="101"/>
      <c r="L458" s="101"/>
      <c r="M458" s="101"/>
      <c r="N458" s="101"/>
      <c r="O458" s="101"/>
      <c r="P458" s="101"/>
      <c r="Q458" s="101"/>
      <c r="R458" s="101"/>
      <c r="S458" s="101"/>
      <c r="T458" s="101"/>
      <c r="U458" s="101"/>
      <c r="V458" s="101"/>
      <c r="W458" s="101"/>
      <c r="X458" s="101"/>
      <c r="Y458" s="101"/>
      <c r="Z458" s="101"/>
      <c r="AA458" s="101"/>
      <c r="AB458" s="101"/>
      <c r="AC458" s="101"/>
      <c r="AD458" s="101"/>
      <c r="AE458" s="101"/>
      <c r="AF458" s="101"/>
      <c r="AG458" s="101"/>
      <c r="AH458" s="101"/>
      <c r="AI458" s="101"/>
      <c r="AJ458" s="101"/>
      <c r="AK458" s="101"/>
      <c r="AL458" s="101"/>
      <c r="AM458" s="101"/>
      <c r="AN458" s="101"/>
      <c r="AO458" s="101"/>
    </row>
    <row r="459" spans="1:41">
      <c r="A459" s="115"/>
      <c r="B459" s="116"/>
      <c r="C459" s="117"/>
      <c r="D459" s="116"/>
      <c r="E459" s="101"/>
      <c r="F459" s="101"/>
      <c r="G459" s="101"/>
      <c r="H459" s="101"/>
      <c r="I459" s="101"/>
      <c r="J459" s="101"/>
      <c r="K459" s="101"/>
      <c r="L459" s="101"/>
      <c r="M459" s="101"/>
      <c r="N459" s="101"/>
      <c r="O459" s="101"/>
      <c r="P459" s="101"/>
      <c r="Q459" s="101"/>
      <c r="R459" s="101"/>
      <c r="S459" s="101"/>
      <c r="T459" s="101"/>
      <c r="U459" s="101"/>
      <c r="V459" s="101"/>
      <c r="W459" s="101"/>
      <c r="X459" s="101"/>
      <c r="Y459" s="101"/>
      <c r="Z459" s="101"/>
      <c r="AA459" s="101"/>
      <c r="AB459" s="101"/>
      <c r="AC459" s="101"/>
      <c r="AD459" s="101"/>
      <c r="AE459" s="101"/>
      <c r="AF459" s="101"/>
      <c r="AG459" s="101"/>
      <c r="AH459" s="101"/>
      <c r="AI459" s="101"/>
      <c r="AJ459" s="101"/>
      <c r="AK459" s="101"/>
      <c r="AL459" s="101"/>
      <c r="AM459" s="101"/>
      <c r="AN459" s="101"/>
      <c r="AO459" s="101"/>
    </row>
    <row r="460" spans="1:41">
      <c r="A460" s="115"/>
      <c r="B460" s="116"/>
      <c r="C460" s="117"/>
      <c r="D460" s="116"/>
      <c r="E460" s="101"/>
      <c r="F460" s="101"/>
      <c r="G460" s="101"/>
      <c r="H460" s="101"/>
      <c r="I460" s="101"/>
      <c r="J460" s="101"/>
      <c r="K460" s="101"/>
      <c r="L460" s="101"/>
      <c r="M460" s="101"/>
      <c r="N460" s="101"/>
      <c r="O460" s="101"/>
      <c r="P460" s="101"/>
      <c r="Q460" s="101"/>
      <c r="R460" s="101"/>
      <c r="S460" s="101"/>
      <c r="T460" s="101"/>
      <c r="U460" s="101"/>
      <c r="V460" s="101"/>
      <c r="W460" s="101"/>
      <c r="X460" s="101"/>
      <c r="Y460" s="101"/>
      <c r="Z460" s="101"/>
      <c r="AA460" s="101"/>
      <c r="AB460" s="101"/>
      <c r="AC460" s="101"/>
      <c r="AD460" s="101"/>
      <c r="AE460" s="101"/>
      <c r="AF460" s="101"/>
      <c r="AG460" s="101"/>
      <c r="AH460" s="101"/>
      <c r="AI460" s="101"/>
      <c r="AJ460" s="101"/>
      <c r="AK460" s="101"/>
      <c r="AL460" s="101"/>
      <c r="AM460" s="101"/>
      <c r="AN460" s="101"/>
      <c r="AO460" s="101"/>
    </row>
    <row r="461" spans="1:41">
      <c r="A461" s="115"/>
      <c r="B461" s="116"/>
      <c r="C461" s="117"/>
      <c r="D461" s="116"/>
      <c r="E461" s="101"/>
      <c r="F461" s="101"/>
      <c r="G461" s="101"/>
      <c r="H461" s="101"/>
      <c r="I461" s="101"/>
      <c r="J461" s="101"/>
      <c r="K461" s="101"/>
      <c r="L461" s="101"/>
      <c r="M461" s="101"/>
      <c r="N461" s="101"/>
      <c r="O461" s="101"/>
      <c r="P461" s="101"/>
      <c r="Q461" s="101"/>
      <c r="R461" s="101"/>
      <c r="S461" s="101"/>
      <c r="T461" s="101"/>
      <c r="U461" s="101"/>
      <c r="V461" s="101"/>
      <c r="W461" s="101"/>
      <c r="X461" s="101"/>
      <c r="Y461" s="101"/>
      <c r="Z461" s="101"/>
      <c r="AA461" s="101"/>
      <c r="AB461" s="101"/>
      <c r="AC461" s="101"/>
      <c r="AD461" s="101"/>
      <c r="AE461" s="101"/>
      <c r="AF461" s="101"/>
      <c r="AG461" s="101"/>
      <c r="AH461" s="101"/>
      <c r="AI461" s="101"/>
      <c r="AJ461" s="101"/>
      <c r="AK461" s="101"/>
      <c r="AL461" s="101"/>
      <c r="AM461" s="101"/>
      <c r="AN461" s="101"/>
      <c r="AO461" s="101"/>
    </row>
    <row r="462" spans="1:41">
      <c r="A462" s="115"/>
      <c r="B462" s="116"/>
      <c r="C462" s="117"/>
      <c r="D462" s="116"/>
      <c r="E462" s="101"/>
      <c r="F462" s="101"/>
      <c r="G462" s="101"/>
      <c r="H462" s="101"/>
      <c r="I462" s="101"/>
      <c r="J462" s="101"/>
      <c r="K462" s="101"/>
      <c r="L462" s="101"/>
      <c r="M462" s="101"/>
      <c r="N462" s="101"/>
      <c r="O462" s="101"/>
      <c r="P462" s="101"/>
      <c r="Q462" s="101"/>
      <c r="R462" s="101"/>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row>
    <row r="463" spans="1:41">
      <c r="A463" s="115"/>
      <c r="B463" s="116"/>
      <c r="C463" s="117"/>
      <c r="D463" s="116"/>
      <c r="E463" s="101"/>
      <c r="F463" s="101"/>
      <c r="G463" s="101"/>
      <c r="H463" s="101"/>
      <c r="I463" s="101"/>
      <c r="J463" s="101"/>
      <c r="K463" s="101"/>
      <c r="L463" s="101"/>
      <c r="M463" s="101"/>
      <c r="N463" s="101"/>
      <c r="O463" s="101"/>
      <c r="P463" s="101"/>
      <c r="Q463" s="101"/>
      <c r="R463" s="101"/>
      <c r="S463" s="101"/>
      <c r="T463" s="101"/>
      <c r="U463" s="101"/>
      <c r="V463" s="101"/>
      <c r="W463" s="101"/>
      <c r="X463" s="101"/>
      <c r="Y463" s="101"/>
      <c r="Z463" s="101"/>
      <c r="AA463" s="101"/>
      <c r="AB463" s="101"/>
      <c r="AC463" s="101"/>
      <c r="AD463" s="101"/>
      <c r="AE463" s="101"/>
      <c r="AF463" s="101"/>
      <c r="AG463" s="101"/>
      <c r="AH463" s="101"/>
      <c r="AI463" s="101"/>
      <c r="AJ463" s="101"/>
      <c r="AK463" s="101"/>
      <c r="AL463" s="101"/>
      <c r="AM463" s="101"/>
      <c r="AN463" s="101"/>
      <c r="AO463" s="101"/>
    </row>
    <row r="464" spans="1:41">
      <c r="A464" s="115"/>
      <c r="B464" s="116"/>
      <c r="C464" s="117"/>
      <c r="D464" s="116"/>
      <c r="E464" s="101"/>
      <c r="F464" s="101"/>
      <c r="G464" s="101"/>
      <c r="H464" s="101"/>
      <c r="I464" s="101"/>
      <c r="J464" s="101"/>
      <c r="K464" s="101"/>
      <c r="L464" s="101"/>
      <c r="M464" s="101"/>
      <c r="N464" s="101"/>
      <c r="O464" s="101"/>
      <c r="P464" s="101"/>
      <c r="Q464" s="101"/>
      <c r="R464" s="101"/>
      <c r="S464" s="101"/>
      <c r="T464" s="101"/>
      <c r="U464" s="101"/>
      <c r="V464" s="101"/>
      <c r="W464" s="101"/>
      <c r="X464" s="101"/>
      <c r="Y464" s="101"/>
      <c r="Z464" s="101"/>
      <c r="AA464" s="101"/>
      <c r="AB464" s="101"/>
      <c r="AC464" s="101"/>
      <c r="AD464" s="101"/>
      <c r="AE464" s="101"/>
      <c r="AF464" s="101"/>
      <c r="AG464" s="101"/>
      <c r="AH464" s="101"/>
      <c r="AI464" s="101"/>
      <c r="AJ464" s="101"/>
      <c r="AK464" s="101"/>
      <c r="AL464" s="101"/>
      <c r="AM464" s="101"/>
      <c r="AN464" s="101"/>
      <c r="AO464" s="101"/>
    </row>
    <row r="465" spans="1:41">
      <c r="A465" s="115"/>
      <c r="B465" s="116"/>
      <c r="C465" s="117"/>
      <c r="D465" s="116"/>
      <c r="E465" s="101"/>
      <c r="F465" s="101"/>
      <c r="G465" s="101"/>
      <c r="H465" s="101"/>
      <c r="I465" s="101"/>
      <c r="J465" s="101"/>
      <c r="K465" s="101"/>
      <c r="L465" s="101"/>
      <c r="M465" s="101"/>
      <c r="N465" s="101"/>
      <c r="O465" s="101"/>
      <c r="P465" s="101"/>
      <c r="Q465" s="101"/>
      <c r="R465" s="101"/>
      <c r="S465" s="101"/>
      <c r="T465" s="101"/>
      <c r="U465" s="101"/>
      <c r="V465" s="101"/>
      <c r="W465" s="101"/>
      <c r="X465" s="101"/>
      <c r="Y465" s="101"/>
      <c r="Z465" s="101"/>
      <c r="AA465" s="101"/>
      <c r="AB465" s="101"/>
      <c r="AC465" s="101"/>
      <c r="AD465" s="101"/>
      <c r="AE465" s="101"/>
      <c r="AF465" s="101"/>
      <c r="AG465" s="101"/>
      <c r="AH465" s="101"/>
      <c r="AI465" s="101"/>
      <c r="AJ465" s="101"/>
      <c r="AK465" s="101"/>
      <c r="AL465" s="101"/>
      <c r="AM465" s="101"/>
      <c r="AN465" s="101"/>
      <c r="AO465" s="101"/>
    </row>
    <row r="466" spans="1:41">
      <c r="A466" s="115"/>
      <c r="B466" s="116"/>
      <c r="C466" s="117"/>
      <c r="D466" s="116"/>
      <c r="E466" s="101"/>
      <c r="F466" s="101"/>
      <c r="G466" s="101"/>
      <c r="H466" s="101"/>
      <c r="I466" s="101"/>
      <c r="J466" s="101"/>
      <c r="K466" s="101"/>
      <c r="L466" s="101"/>
      <c r="M466" s="101"/>
      <c r="N466" s="101"/>
      <c r="O466" s="101"/>
      <c r="P466" s="101"/>
      <c r="Q466" s="101"/>
      <c r="R466" s="101"/>
      <c r="S466" s="101"/>
      <c r="T466" s="101"/>
      <c r="U466" s="101"/>
      <c r="V466" s="101"/>
      <c r="W466" s="101"/>
      <c r="X466" s="101"/>
      <c r="Y466" s="101"/>
      <c r="Z466" s="101"/>
      <c r="AA466" s="101"/>
      <c r="AB466" s="101"/>
      <c r="AC466" s="101"/>
      <c r="AD466" s="101"/>
      <c r="AE466" s="101"/>
      <c r="AF466" s="101"/>
      <c r="AG466" s="101"/>
      <c r="AH466" s="101"/>
      <c r="AI466" s="101"/>
      <c r="AJ466" s="101"/>
      <c r="AK466" s="101"/>
      <c r="AL466" s="101"/>
      <c r="AM466" s="101"/>
      <c r="AN466" s="101"/>
      <c r="AO466" s="101"/>
    </row>
    <row r="467" spans="1:41">
      <c r="A467" s="115"/>
      <c r="B467" s="116"/>
      <c r="C467" s="117"/>
      <c r="D467" s="116"/>
      <c r="E467" s="101"/>
      <c r="F467" s="101"/>
      <c r="G467" s="101"/>
      <c r="H467" s="101"/>
      <c r="I467" s="101"/>
      <c r="J467" s="101"/>
      <c r="K467" s="101"/>
      <c r="L467" s="101"/>
      <c r="M467" s="101"/>
      <c r="N467" s="101"/>
      <c r="O467" s="101"/>
      <c r="P467" s="101"/>
      <c r="Q467" s="101"/>
      <c r="R467" s="101"/>
      <c r="S467" s="101"/>
      <c r="T467" s="101"/>
      <c r="U467" s="101"/>
      <c r="V467" s="101"/>
      <c r="W467" s="101"/>
      <c r="X467" s="101"/>
      <c r="Y467" s="101"/>
      <c r="Z467" s="101"/>
      <c r="AA467" s="101"/>
      <c r="AB467" s="101"/>
      <c r="AC467" s="101"/>
      <c r="AD467" s="101"/>
      <c r="AE467" s="101"/>
      <c r="AF467" s="101"/>
      <c r="AG467" s="101"/>
      <c r="AH467" s="101"/>
      <c r="AI467" s="101"/>
      <c r="AJ467" s="101"/>
      <c r="AK467" s="101"/>
      <c r="AL467" s="101"/>
      <c r="AM467" s="101"/>
      <c r="AN467" s="101"/>
      <c r="AO467" s="101"/>
    </row>
    <row r="468" spans="1:41">
      <c r="A468" s="115"/>
      <c r="B468" s="116"/>
      <c r="C468" s="117"/>
      <c r="D468" s="116"/>
      <c r="E468" s="101"/>
      <c r="F468" s="101"/>
      <c r="G468" s="101"/>
      <c r="H468" s="101"/>
      <c r="I468" s="101"/>
      <c r="J468" s="101"/>
      <c r="K468" s="101"/>
      <c r="L468" s="101"/>
      <c r="M468" s="101"/>
      <c r="N468" s="101"/>
      <c r="O468" s="101"/>
      <c r="P468" s="101"/>
      <c r="Q468" s="101"/>
      <c r="R468" s="101"/>
      <c r="S468" s="101"/>
      <c r="T468" s="101"/>
      <c r="U468" s="101"/>
      <c r="V468" s="101"/>
      <c r="W468" s="101"/>
      <c r="X468" s="101"/>
      <c r="Y468" s="101"/>
      <c r="Z468" s="101"/>
      <c r="AA468" s="101"/>
      <c r="AB468" s="101"/>
      <c r="AC468" s="101"/>
      <c r="AD468" s="101"/>
      <c r="AE468" s="101"/>
      <c r="AF468" s="101"/>
      <c r="AG468" s="101"/>
      <c r="AH468" s="101"/>
      <c r="AI468" s="101"/>
      <c r="AJ468" s="101"/>
      <c r="AK468" s="101"/>
      <c r="AL468" s="101"/>
      <c r="AM468" s="101"/>
      <c r="AN468" s="101"/>
      <c r="AO468" s="101"/>
    </row>
    <row r="469" spans="1:41">
      <c r="A469" s="115"/>
      <c r="B469" s="116"/>
      <c r="C469" s="117"/>
      <c r="D469" s="116"/>
      <c r="E469" s="101"/>
      <c r="F469" s="101"/>
      <c r="G469" s="101"/>
      <c r="H469" s="101"/>
      <c r="I469" s="101"/>
      <c r="J469" s="101"/>
      <c r="K469" s="101"/>
      <c r="L469" s="101"/>
      <c r="M469" s="101"/>
      <c r="N469" s="101"/>
      <c r="O469" s="101"/>
      <c r="P469" s="101"/>
      <c r="Q469" s="101"/>
      <c r="R469" s="101"/>
      <c r="S469" s="101"/>
      <c r="T469" s="101"/>
      <c r="U469" s="101"/>
      <c r="V469" s="101"/>
      <c r="W469" s="101"/>
      <c r="X469" s="101"/>
      <c r="Y469" s="101"/>
      <c r="Z469" s="101"/>
      <c r="AA469" s="101"/>
      <c r="AB469" s="101"/>
      <c r="AC469" s="101"/>
      <c r="AD469" s="101"/>
      <c r="AE469" s="101"/>
      <c r="AF469" s="101"/>
      <c r="AG469" s="101"/>
      <c r="AH469" s="101"/>
      <c r="AI469" s="101"/>
      <c r="AJ469" s="101"/>
      <c r="AK469" s="101"/>
      <c r="AL469" s="101"/>
      <c r="AM469" s="101"/>
      <c r="AN469" s="101"/>
      <c r="AO469" s="101"/>
    </row>
    <row r="470" spans="1:41">
      <c r="A470" s="115"/>
      <c r="B470" s="116"/>
      <c r="C470" s="117"/>
      <c r="D470" s="116"/>
      <c r="E470" s="101"/>
      <c r="F470" s="101"/>
      <c r="G470" s="101"/>
      <c r="H470" s="101"/>
      <c r="I470" s="101"/>
      <c r="J470" s="101"/>
      <c r="K470" s="101"/>
      <c r="L470" s="101"/>
      <c r="M470" s="101"/>
      <c r="N470" s="101"/>
      <c r="O470" s="101"/>
      <c r="P470" s="101"/>
      <c r="Q470" s="101"/>
      <c r="R470" s="101"/>
      <c r="S470" s="101"/>
      <c r="T470" s="101"/>
      <c r="U470" s="101"/>
      <c r="V470" s="101"/>
      <c r="W470" s="101"/>
      <c r="X470" s="101"/>
      <c r="Y470" s="101"/>
      <c r="Z470" s="101"/>
      <c r="AA470" s="101"/>
      <c r="AB470" s="101"/>
      <c r="AC470" s="101"/>
      <c r="AD470" s="101"/>
      <c r="AE470" s="101"/>
      <c r="AF470" s="101"/>
      <c r="AG470" s="101"/>
      <c r="AH470" s="101"/>
      <c r="AI470" s="101"/>
      <c r="AJ470" s="101"/>
      <c r="AK470" s="101"/>
      <c r="AL470" s="101"/>
      <c r="AM470" s="101"/>
      <c r="AN470" s="101"/>
      <c r="AO470" s="101"/>
    </row>
    <row r="471" spans="1:41">
      <c r="A471" s="115"/>
      <c r="B471" s="116"/>
      <c r="C471" s="117"/>
      <c r="D471" s="116"/>
      <c r="E471" s="101"/>
      <c r="F471" s="101"/>
      <c r="G471" s="101"/>
      <c r="H471" s="101"/>
      <c r="I471" s="101"/>
      <c r="J471" s="101"/>
      <c r="K471" s="101"/>
      <c r="L471" s="101"/>
      <c r="M471" s="101"/>
      <c r="N471" s="101"/>
      <c r="O471" s="101"/>
      <c r="P471" s="101"/>
      <c r="Q471" s="101"/>
      <c r="R471" s="101"/>
      <c r="S471" s="101"/>
      <c r="T471" s="101"/>
      <c r="U471" s="101"/>
      <c r="V471" s="101"/>
      <c r="W471" s="101"/>
      <c r="X471" s="101"/>
      <c r="Y471" s="101"/>
      <c r="Z471" s="101"/>
      <c r="AA471" s="101"/>
      <c r="AB471" s="101"/>
      <c r="AC471" s="101"/>
      <c r="AD471" s="101"/>
      <c r="AE471" s="101"/>
      <c r="AF471" s="101"/>
      <c r="AG471" s="101"/>
      <c r="AH471" s="101"/>
      <c r="AI471" s="101"/>
      <c r="AJ471" s="101"/>
      <c r="AK471" s="101"/>
      <c r="AL471" s="101"/>
      <c r="AM471" s="101"/>
      <c r="AN471" s="101"/>
      <c r="AO471" s="101"/>
    </row>
    <row r="472" spans="1:41">
      <c r="A472" s="115"/>
      <c r="B472" s="116"/>
      <c r="C472" s="117"/>
      <c r="D472" s="116"/>
      <c r="E472" s="101"/>
      <c r="F472" s="101"/>
      <c r="G472" s="101"/>
      <c r="H472" s="101"/>
      <c r="I472" s="101"/>
      <c r="J472" s="101"/>
      <c r="K472" s="101"/>
      <c r="L472" s="101"/>
      <c r="M472" s="101"/>
      <c r="N472" s="101"/>
      <c r="O472" s="101"/>
      <c r="P472" s="101"/>
      <c r="Q472" s="101"/>
      <c r="R472" s="101"/>
      <c r="S472" s="101"/>
      <c r="T472" s="101"/>
      <c r="U472" s="101"/>
      <c r="V472" s="101"/>
      <c r="W472" s="101"/>
      <c r="X472" s="101"/>
      <c r="Y472" s="101"/>
      <c r="Z472" s="101"/>
      <c r="AA472" s="101"/>
      <c r="AB472" s="101"/>
      <c r="AC472" s="101"/>
      <c r="AD472" s="101"/>
      <c r="AE472" s="101"/>
      <c r="AF472" s="101"/>
      <c r="AG472" s="101"/>
      <c r="AH472" s="101"/>
      <c r="AI472" s="101"/>
      <c r="AJ472" s="101"/>
      <c r="AK472" s="101"/>
      <c r="AL472" s="101"/>
      <c r="AM472" s="101"/>
      <c r="AN472" s="101"/>
      <c r="AO472" s="101"/>
    </row>
    <row r="473" spans="1:41">
      <c r="A473" s="115"/>
      <c r="B473" s="116"/>
      <c r="C473" s="117"/>
      <c r="D473" s="116"/>
      <c r="E473" s="101"/>
      <c r="F473" s="101"/>
      <c r="G473" s="101"/>
      <c r="H473" s="101"/>
      <c r="I473" s="101"/>
      <c r="J473" s="101"/>
      <c r="K473" s="101"/>
      <c r="L473" s="101"/>
      <c r="M473" s="101"/>
      <c r="N473" s="101"/>
      <c r="O473" s="101"/>
      <c r="P473" s="101"/>
      <c r="Q473" s="101"/>
      <c r="R473" s="101"/>
      <c r="S473" s="101"/>
      <c r="T473" s="101"/>
      <c r="U473" s="101"/>
      <c r="V473" s="101"/>
      <c r="W473" s="101"/>
      <c r="X473" s="101"/>
      <c r="Y473" s="101"/>
      <c r="Z473" s="101"/>
      <c r="AA473" s="101"/>
      <c r="AB473" s="101"/>
      <c r="AC473" s="101"/>
      <c r="AD473" s="101"/>
      <c r="AE473" s="101"/>
      <c r="AF473" s="101"/>
      <c r="AG473" s="101"/>
      <c r="AH473" s="101"/>
      <c r="AI473" s="101"/>
      <c r="AJ473" s="101"/>
      <c r="AK473" s="101"/>
      <c r="AL473" s="101"/>
      <c r="AM473" s="101"/>
      <c r="AN473" s="101"/>
      <c r="AO473" s="101"/>
    </row>
    <row r="474" spans="1:41">
      <c r="A474" s="115"/>
      <c r="B474" s="116"/>
      <c r="C474" s="117"/>
      <c r="D474" s="116"/>
      <c r="E474" s="101"/>
      <c r="F474" s="101"/>
      <c r="G474" s="101"/>
      <c r="H474" s="101"/>
      <c r="I474" s="101"/>
      <c r="J474" s="101"/>
      <c r="K474" s="101"/>
      <c r="L474" s="101"/>
      <c r="M474" s="101"/>
      <c r="N474" s="101"/>
      <c r="O474" s="101"/>
      <c r="P474" s="101"/>
      <c r="Q474" s="101"/>
      <c r="R474" s="101"/>
      <c r="S474" s="101"/>
      <c r="T474" s="101"/>
      <c r="U474" s="101"/>
      <c r="V474" s="101"/>
      <c r="W474" s="101"/>
      <c r="X474" s="101"/>
      <c r="Y474" s="101"/>
      <c r="Z474" s="101"/>
      <c r="AA474" s="101"/>
      <c r="AB474" s="101"/>
      <c r="AC474" s="101"/>
      <c r="AD474" s="101"/>
      <c r="AE474" s="101"/>
      <c r="AF474" s="101"/>
      <c r="AG474" s="101"/>
      <c r="AH474" s="101"/>
      <c r="AI474" s="101"/>
      <c r="AJ474" s="101"/>
      <c r="AK474" s="101"/>
      <c r="AL474" s="101"/>
      <c r="AM474" s="101"/>
      <c r="AN474" s="101"/>
      <c r="AO474" s="101"/>
    </row>
    <row r="475" spans="1:41">
      <c r="A475" s="115"/>
      <c r="B475" s="116"/>
      <c r="C475" s="117"/>
      <c r="D475" s="116"/>
      <c r="E475" s="101"/>
      <c r="F475" s="101"/>
      <c r="G475" s="101"/>
      <c r="H475" s="101"/>
      <c r="I475" s="101"/>
      <c r="J475" s="101"/>
      <c r="K475" s="101"/>
      <c r="L475" s="101"/>
      <c r="M475" s="101"/>
      <c r="N475" s="101"/>
      <c r="O475" s="101"/>
      <c r="P475" s="101"/>
      <c r="Q475" s="101"/>
      <c r="R475" s="101"/>
      <c r="S475" s="101"/>
      <c r="T475" s="101"/>
      <c r="U475" s="101"/>
      <c r="V475" s="101"/>
      <c r="W475" s="101"/>
      <c r="X475" s="101"/>
      <c r="Y475" s="101"/>
      <c r="Z475" s="101"/>
      <c r="AA475" s="101"/>
      <c r="AB475" s="101"/>
      <c r="AC475" s="101"/>
      <c r="AD475" s="101"/>
      <c r="AE475" s="101"/>
      <c r="AF475" s="101"/>
      <c r="AG475" s="101"/>
      <c r="AH475" s="101"/>
      <c r="AI475" s="101"/>
      <c r="AJ475" s="101"/>
      <c r="AK475" s="101"/>
      <c r="AL475" s="101"/>
      <c r="AM475" s="101"/>
      <c r="AN475" s="101"/>
      <c r="AO475" s="101"/>
    </row>
    <row r="476" spans="1:41">
      <c r="A476" s="115"/>
      <c r="B476" s="116"/>
      <c r="C476" s="117"/>
      <c r="D476" s="116"/>
      <c r="E476" s="101"/>
      <c r="F476" s="101"/>
      <c r="G476" s="101"/>
      <c r="H476" s="101"/>
      <c r="I476" s="101"/>
      <c r="J476" s="101"/>
      <c r="K476" s="101"/>
      <c r="L476" s="101"/>
      <c r="M476" s="101"/>
      <c r="N476" s="101"/>
      <c r="O476" s="101"/>
      <c r="P476" s="101"/>
      <c r="Q476" s="101"/>
      <c r="R476" s="101"/>
      <c r="S476" s="101"/>
      <c r="T476" s="101"/>
      <c r="U476" s="101"/>
      <c r="V476" s="101"/>
      <c r="W476" s="101"/>
      <c r="X476" s="101"/>
      <c r="Y476" s="101"/>
      <c r="Z476" s="101"/>
      <c r="AA476" s="101"/>
      <c r="AB476" s="101"/>
      <c r="AC476" s="101"/>
      <c r="AD476" s="101"/>
      <c r="AE476" s="101"/>
      <c r="AF476" s="101"/>
      <c r="AG476" s="101"/>
      <c r="AH476" s="101"/>
      <c r="AI476" s="101"/>
      <c r="AJ476" s="101"/>
      <c r="AK476" s="101"/>
      <c r="AL476" s="101"/>
      <c r="AM476" s="101"/>
      <c r="AN476" s="101"/>
      <c r="AO476" s="101"/>
    </row>
    <row r="477" spans="1:41">
      <c r="A477" s="115"/>
      <c r="B477" s="116"/>
      <c r="C477" s="117"/>
      <c r="D477" s="116"/>
      <c r="E477" s="101"/>
      <c r="F477" s="101"/>
      <c r="G477" s="101"/>
      <c r="H477" s="101"/>
      <c r="I477" s="101"/>
      <c r="J477" s="101"/>
      <c r="K477" s="101"/>
      <c r="L477" s="101"/>
      <c r="M477" s="101"/>
      <c r="N477" s="101"/>
      <c r="O477" s="101"/>
      <c r="P477" s="101"/>
      <c r="Q477" s="101"/>
      <c r="R477" s="101"/>
      <c r="S477" s="101"/>
      <c r="T477" s="101"/>
      <c r="U477" s="101"/>
      <c r="V477" s="101"/>
      <c r="W477" s="101"/>
      <c r="X477" s="101"/>
      <c r="Y477" s="101"/>
      <c r="Z477" s="101"/>
      <c r="AA477" s="101"/>
      <c r="AB477" s="101"/>
      <c r="AC477" s="101"/>
      <c r="AD477" s="101"/>
      <c r="AE477" s="101"/>
      <c r="AF477" s="101"/>
      <c r="AG477" s="101"/>
      <c r="AH477" s="101"/>
      <c r="AI477" s="101"/>
      <c r="AJ477" s="101"/>
      <c r="AK477" s="101"/>
      <c r="AL477" s="101"/>
      <c r="AM477" s="101"/>
      <c r="AN477" s="101"/>
      <c r="AO477" s="101"/>
    </row>
    <row r="478" spans="1:41">
      <c r="A478" s="115"/>
      <c r="B478" s="116"/>
      <c r="C478" s="117"/>
      <c r="D478" s="116"/>
      <c r="E478" s="101"/>
      <c r="F478" s="101"/>
      <c r="G478" s="101"/>
      <c r="H478" s="101"/>
      <c r="I478" s="101"/>
      <c r="J478" s="101"/>
      <c r="K478" s="101"/>
      <c r="L478" s="101"/>
      <c r="M478" s="101"/>
      <c r="N478" s="101"/>
      <c r="O478" s="101"/>
      <c r="P478" s="101"/>
      <c r="Q478" s="101"/>
      <c r="R478" s="101"/>
      <c r="S478" s="101"/>
      <c r="T478" s="101"/>
      <c r="U478" s="101"/>
      <c r="V478" s="101"/>
      <c r="W478" s="101"/>
      <c r="X478" s="101"/>
      <c r="Y478" s="101"/>
      <c r="Z478" s="101"/>
      <c r="AA478" s="101"/>
      <c r="AB478" s="101"/>
      <c r="AC478" s="101"/>
      <c r="AD478" s="101"/>
      <c r="AE478" s="101"/>
      <c r="AF478" s="101"/>
      <c r="AG478" s="101"/>
      <c r="AH478" s="101"/>
      <c r="AI478" s="101"/>
      <c r="AJ478" s="101"/>
      <c r="AK478" s="101"/>
      <c r="AL478" s="101"/>
      <c r="AM478" s="101"/>
      <c r="AN478" s="101"/>
      <c r="AO478" s="101"/>
    </row>
    <row r="479" spans="1:41">
      <c r="A479" s="115"/>
      <c r="B479" s="116"/>
      <c r="C479" s="117"/>
      <c r="D479" s="116"/>
      <c r="E479" s="101"/>
      <c r="F479" s="101"/>
      <c r="G479" s="101"/>
      <c r="H479" s="101"/>
      <c r="I479" s="101"/>
      <c r="J479" s="101"/>
      <c r="K479" s="101"/>
      <c r="L479" s="101"/>
      <c r="M479" s="101"/>
      <c r="N479" s="101"/>
      <c r="O479" s="101"/>
      <c r="P479" s="101"/>
      <c r="Q479" s="101"/>
      <c r="R479" s="101"/>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row>
    <row r="480" spans="1:41">
      <c r="A480" s="115"/>
      <c r="B480" s="116"/>
      <c r="C480" s="117"/>
      <c r="D480" s="116"/>
      <c r="E480" s="101"/>
      <c r="F480" s="101"/>
      <c r="G480" s="101"/>
      <c r="H480" s="101"/>
      <c r="I480" s="101"/>
      <c r="J480" s="101"/>
      <c r="K480" s="101"/>
      <c r="L480" s="101"/>
      <c r="M480" s="101"/>
      <c r="N480" s="101"/>
      <c r="O480" s="101"/>
      <c r="P480" s="101"/>
      <c r="Q480" s="101"/>
      <c r="R480" s="101"/>
      <c r="S480" s="101"/>
      <c r="T480" s="101"/>
      <c r="U480" s="101"/>
      <c r="V480" s="101"/>
      <c r="W480" s="101"/>
      <c r="X480" s="101"/>
      <c r="Y480" s="101"/>
      <c r="Z480" s="101"/>
      <c r="AA480" s="101"/>
      <c r="AB480" s="101"/>
      <c r="AC480" s="101"/>
      <c r="AD480" s="101"/>
      <c r="AE480" s="101"/>
      <c r="AF480" s="101"/>
      <c r="AG480" s="101"/>
      <c r="AH480" s="101"/>
      <c r="AI480" s="101"/>
      <c r="AJ480" s="101"/>
      <c r="AK480" s="101"/>
      <c r="AL480" s="101"/>
      <c r="AM480" s="101"/>
      <c r="AN480" s="101"/>
      <c r="AO480" s="101"/>
    </row>
    <row r="481" spans="1:41">
      <c r="A481" s="115"/>
      <c r="B481" s="116"/>
      <c r="C481" s="117"/>
      <c r="D481" s="116"/>
      <c r="E481" s="101"/>
      <c r="F481" s="101"/>
      <c r="G481" s="101"/>
      <c r="H481" s="101"/>
      <c r="I481" s="101"/>
      <c r="J481" s="101"/>
      <c r="K481" s="101"/>
      <c r="L481" s="101"/>
      <c r="M481" s="101"/>
      <c r="N481" s="101"/>
      <c r="O481" s="101"/>
      <c r="P481" s="101"/>
      <c r="Q481" s="101"/>
      <c r="R481" s="101"/>
      <c r="S481" s="101"/>
      <c r="T481" s="101"/>
      <c r="U481" s="101"/>
      <c r="V481" s="101"/>
      <c r="W481" s="101"/>
      <c r="X481" s="101"/>
      <c r="Y481" s="101"/>
      <c r="Z481" s="101"/>
      <c r="AA481" s="101"/>
      <c r="AB481" s="101"/>
      <c r="AC481" s="101"/>
      <c r="AD481" s="101"/>
      <c r="AE481" s="101"/>
      <c r="AF481" s="101"/>
      <c r="AG481" s="101"/>
      <c r="AH481" s="101"/>
      <c r="AI481" s="101"/>
      <c r="AJ481" s="101"/>
      <c r="AK481" s="101"/>
      <c r="AL481" s="101"/>
      <c r="AM481" s="101"/>
      <c r="AN481" s="101"/>
      <c r="AO481" s="101"/>
    </row>
    <row r="482" spans="1:41">
      <c r="A482" s="115"/>
      <c r="B482" s="116"/>
      <c r="C482" s="117"/>
      <c r="D482" s="116"/>
      <c r="E482" s="101"/>
      <c r="F482" s="101"/>
      <c r="G482" s="101"/>
      <c r="H482" s="101"/>
      <c r="I482" s="101"/>
      <c r="J482" s="101"/>
      <c r="K482" s="101"/>
      <c r="L482" s="101"/>
      <c r="M482" s="101"/>
      <c r="N482" s="101"/>
      <c r="O482" s="101"/>
      <c r="P482" s="101"/>
      <c r="Q482" s="101"/>
      <c r="R482" s="101"/>
      <c r="S482" s="101"/>
      <c r="T482" s="101"/>
      <c r="U482" s="101"/>
      <c r="V482" s="101"/>
      <c r="W482" s="101"/>
      <c r="X482" s="101"/>
      <c r="Y482" s="101"/>
      <c r="Z482" s="101"/>
      <c r="AA482" s="101"/>
      <c r="AB482" s="101"/>
      <c r="AC482" s="101"/>
      <c r="AD482" s="101"/>
      <c r="AE482" s="101"/>
      <c r="AF482" s="101"/>
      <c r="AG482" s="101"/>
      <c r="AH482" s="101"/>
      <c r="AI482" s="101"/>
      <c r="AJ482" s="101"/>
      <c r="AK482" s="101"/>
      <c r="AL482" s="101"/>
      <c r="AM482" s="101"/>
      <c r="AN482" s="101"/>
      <c r="AO482" s="101"/>
    </row>
    <row r="483" spans="1:41">
      <c r="A483" s="115"/>
      <c r="B483" s="116"/>
      <c r="C483" s="117"/>
      <c r="D483" s="116"/>
      <c r="E483" s="101"/>
      <c r="F483" s="101"/>
      <c r="G483" s="101"/>
      <c r="H483" s="101"/>
      <c r="I483" s="101"/>
      <c r="J483" s="101"/>
      <c r="K483" s="101"/>
      <c r="L483" s="101"/>
      <c r="M483" s="101"/>
      <c r="N483" s="101"/>
      <c r="O483" s="101"/>
      <c r="P483" s="101"/>
      <c r="Q483" s="101"/>
      <c r="R483" s="101"/>
      <c r="S483" s="101"/>
      <c r="T483" s="101"/>
      <c r="U483" s="101"/>
      <c r="V483" s="101"/>
      <c r="W483" s="101"/>
      <c r="X483" s="101"/>
      <c r="Y483" s="101"/>
      <c r="Z483" s="101"/>
      <c r="AA483" s="101"/>
      <c r="AB483" s="101"/>
      <c r="AC483" s="101"/>
      <c r="AD483" s="101"/>
      <c r="AE483" s="101"/>
      <c r="AF483" s="101"/>
      <c r="AG483" s="101"/>
      <c r="AH483" s="101"/>
      <c r="AI483" s="101"/>
      <c r="AJ483" s="101"/>
      <c r="AK483" s="101"/>
      <c r="AL483" s="101"/>
      <c r="AM483" s="101"/>
      <c r="AN483" s="101"/>
      <c r="AO483" s="101"/>
    </row>
    <row r="484" spans="1:41">
      <c r="A484" s="115"/>
      <c r="B484" s="116"/>
      <c r="C484" s="117"/>
      <c r="D484" s="116"/>
      <c r="E484" s="101"/>
      <c r="F484" s="101"/>
      <c r="G484" s="101"/>
      <c r="H484" s="101"/>
      <c r="I484" s="101"/>
      <c r="J484" s="101"/>
      <c r="K484" s="101"/>
      <c r="L484" s="101"/>
      <c r="M484" s="101"/>
      <c r="N484" s="101"/>
      <c r="O484" s="101"/>
      <c r="P484" s="101"/>
      <c r="Q484" s="101"/>
      <c r="R484" s="101"/>
      <c r="S484" s="101"/>
      <c r="T484" s="101"/>
      <c r="U484" s="101"/>
      <c r="V484" s="101"/>
      <c r="W484" s="101"/>
      <c r="X484" s="101"/>
      <c r="Y484" s="101"/>
      <c r="Z484" s="101"/>
      <c r="AA484" s="101"/>
      <c r="AB484" s="101"/>
      <c r="AC484" s="101"/>
      <c r="AD484" s="101"/>
      <c r="AE484" s="101"/>
      <c r="AF484" s="101"/>
      <c r="AG484" s="101"/>
      <c r="AH484" s="101"/>
      <c r="AI484" s="101"/>
      <c r="AJ484" s="101"/>
      <c r="AK484" s="101"/>
      <c r="AL484" s="101"/>
      <c r="AM484" s="101"/>
      <c r="AN484" s="101"/>
      <c r="AO484" s="101"/>
    </row>
    <row r="485" spans="1:41">
      <c r="A485" s="115"/>
      <c r="B485" s="116"/>
      <c r="C485" s="117"/>
      <c r="D485" s="116"/>
      <c r="E485" s="101"/>
      <c r="F485" s="101"/>
      <c r="G485" s="101"/>
      <c r="H485" s="101"/>
      <c r="I485" s="101"/>
      <c r="J485" s="101"/>
      <c r="K485" s="101"/>
      <c r="L485" s="101"/>
      <c r="M485" s="101"/>
      <c r="N485" s="101"/>
      <c r="O485" s="101"/>
      <c r="P485" s="101"/>
      <c r="Q485" s="101"/>
      <c r="R485" s="101"/>
      <c r="S485" s="101"/>
      <c r="T485" s="101"/>
      <c r="U485" s="101"/>
      <c r="V485" s="101"/>
      <c r="W485" s="101"/>
      <c r="X485" s="101"/>
      <c r="Y485" s="101"/>
      <c r="Z485" s="101"/>
      <c r="AA485" s="101"/>
      <c r="AB485" s="101"/>
      <c r="AC485" s="101"/>
      <c r="AD485" s="101"/>
      <c r="AE485" s="101"/>
      <c r="AF485" s="101"/>
      <c r="AG485" s="101"/>
      <c r="AH485" s="101"/>
      <c r="AI485" s="101"/>
      <c r="AJ485" s="101"/>
      <c r="AK485" s="101"/>
      <c r="AL485" s="101"/>
      <c r="AM485" s="101"/>
      <c r="AN485" s="101"/>
      <c r="AO485" s="101"/>
    </row>
    <row r="486" spans="1:41">
      <c r="A486" s="115"/>
      <c r="B486" s="116"/>
      <c r="C486" s="117"/>
      <c r="D486" s="116"/>
      <c r="E486" s="101"/>
      <c r="F486" s="101"/>
      <c r="G486" s="101"/>
      <c r="H486" s="101"/>
      <c r="I486" s="101"/>
      <c r="J486" s="101"/>
      <c r="K486" s="101"/>
      <c r="L486" s="101"/>
      <c r="M486" s="101"/>
      <c r="N486" s="101"/>
      <c r="O486" s="101"/>
      <c r="P486" s="101"/>
      <c r="Q486" s="101"/>
      <c r="R486" s="101"/>
      <c r="S486" s="101"/>
      <c r="T486" s="101"/>
      <c r="U486" s="101"/>
      <c r="V486" s="101"/>
      <c r="W486" s="101"/>
      <c r="X486" s="101"/>
      <c r="Y486" s="101"/>
      <c r="Z486" s="101"/>
      <c r="AA486" s="101"/>
      <c r="AB486" s="101"/>
      <c r="AC486" s="101"/>
      <c r="AD486" s="101"/>
      <c r="AE486" s="101"/>
      <c r="AF486" s="101"/>
      <c r="AG486" s="101"/>
      <c r="AH486" s="101"/>
      <c r="AI486" s="101"/>
      <c r="AJ486" s="101"/>
      <c r="AK486" s="101"/>
      <c r="AL486" s="101"/>
      <c r="AM486" s="101"/>
      <c r="AN486" s="101"/>
      <c r="AO486" s="101"/>
    </row>
    <row r="487" spans="1:41">
      <c r="A487" s="115"/>
      <c r="B487" s="116"/>
      <c r="C487" s="117"/>
      <c r="D487" s="116"/>
      <c r="E487" s="101"/>
      <c r="F487" s="101"/>
      <c r="G487" s="101"/>
      <c r="H487" s="101"/>
      <c r="I487" s="101"/>
      <c r="J487" s="101"/>
      <c r="K487" s="101"/>
      <c r="L487" s="101"/>
      <c r="M487" s="101"/>
      <c r="N487" s="101"/>
      <c r="O487" s="101"/>
      <c r="P487" s="101"/>
      <c r="Q487" s="101"/>
      <c r="R487" s="101"/>
      <c r="S487" s="101"/>
      <c r="T487" s="101"/>
      <c r="U487" s="101"/>
      <c r="V487" s="101"/>
      <c r="W487" s="101"/>
      <c r="X487" s="101"/>
      <c r="Y487" s="101"/>
      <c r="Z487" s="101"/>
      <c r="AA487" s="101"/>
      <c r="AB487" s="101"/>
      <c r="AC487" s="101"/>
      <c r="AD487" s="101"/>
      <c r="AE487" s="101"/>
      <c r="AF487" s="101"/>
      <c r="AG487" s="101"/>
      <c r="AH487" s="101"/>
      <c r="AI487" s="101"/>
      <c r="AJ487" s="101"/>
      <c r="AK487" s="101"/>
      <c r="AL487" s="101"/>
      <c r="AM487" s="101"/>
      <c r="AN487" s="101"/>
      <c r="AO487" s="101"/>
    </row>
    <row r="488" spans="1:41">
      <c r="A488" s="115"/>
      <c r="B488" s="116"/>
      <c r="C488" s="117"/>
      <c r="D488" s="116"/>
      <c r="E488" s="101"/>
      <c r="F488" s="101"/>
      <c r="G488" s="101"/>
      <c r="H488" s="101"/>
      <c r="I488" s="101"/>
      <c r="J488" s="101"/>
      <c r="K488" s="101"/>
      <c r="L488" s="101"/>
      <c r="M488" s="101"/>
      <c r="N488" s="101"/>
      <c r="O488" s="101"/>
      <c r="P488" s="101"/>
      <c r="Q488" s="101"/>
      <c r="R488" s="101"/>
      <c r="S488" s="101"/>
      <c r="T488" s="101"/>
      <c r="U488" s="101"/>
      <c r="V488" s="101"/>
      <c r="W488" s="101"/>
      <c r="X488" s="101"/>
      <c r="Y488" s="101"/>
      <c r="Z488" s="101"/>
      <c r="AA488" s="101"/>
      <c r="AB488" s="101"/>
      <c r="AC488" s="101"/>
      <c r="AD488" s="101"/>
      <c r="AE488" s="101"/>
      <c r="AF488" s="101"/>
      <c r="AG488" s="101"/>
      <c r="AH488" s="101"/>
      <c r="AI488" s="101"/>
      <c r="AJ488" s="101"/>
      <c r="AK488" s="101"/>
      <c r="AL488" s="101"/>
      <c r="AM488" s="101"/>
      <c r="AN488" s="101"/>
      <c r="AO488" s="101"/>
    </row>
    <row r="489" spans="1:41">
      <c r="A489" s="115"/>
      <c r="B489" s="116"/>
      <c r="C489" s="117"/>
      <c r="D489" s="116"/>
      <c r="E489" s="101"/>
      <c r="F489" s="101"/>
      <c r="G489" s="101"/>
      <c r="H489" s="101"/>
      <c r="I489" s="101"/>
      <c r="J489" s="101"/>
      <c r="K489" s="101"/>
      <c r="L489" s="101"/>
      <c r="M489" s="101"/>
      <c r="N489" s="101"/>
      <c r="O489" s="101"/>
      <c r="P489" s="101"/>
      <c r="Q489" s="101"/>
      <c r="R489" s="101"/>
      <c r="S489" s="101"/>
      <c r="T489" s="101"/>
      <c r="U489" s="101"/>
      <c r="V489" s="101"/>
      <c r="W489" s="101"/>
      <c r="X489" s="101"/>
      <c r="Y489" s="101"/>
      <c r="Z489" s="101"/>
      <c r="AA489" s="101"/>
      <c r="AB489" s="101"/>
      <c r="AC489" s="101"/>
      <c r="AD489" s="101"/>
      <c r="AE489" s="101"/>
      <c r="AF489" s="101"/>
      <c r="AG489" s="101"/>
      <c r="AH489" s="101"/>
      <c r="AI489" s="101"/>
      <c r="AJ489" s="101"/>
      <c r="AK489" s="101"/>
      <c r="AL489" s="101"/>
      <c r="AM489" s="101"/>
      <c r="AN489" s="101"/>
      <c r="AO489" s="101"/>
    </row>
    <row r="490" spans="1:41">
      <c r="A490" s="115"/>
      <c r="B490" s="116"/>
      <c r="C490" s="117"/>
      <c r="D490" s="116"/>
      <c r="E490" s="101"/>
      <c r="F490" s="101"/>
      <c r="G490" s="101"/>
      <c r="H490" s="101"/>
      <c r="I490" s="101"/>
      <c r="J490" s="101"/>
      <c r="K490" s="101"/>
      <c r="L490" s="101"/>
      <c r="M490" s="101"/>
      <c r="N490" s="101"/>
      <c r="O490" s="101"/>
      <c r="P490" s="101"/>
      <c r="Q490" s="101"/>
      <c r="R490" s="101"/>
      <c r="S490" s="101"/>
      <c r="T490" s="101"/>
      <c r="U490" s="101"/>
      <c r="V490" s="101"/>
      <c r="W490" s="101"/>
      <c r="X490" s="101"/>
      <c r="Y490" s="101"/>
      <c r="Z490" s="101"/>
      <c r="AA490" s="101"/>
      <c r="AB490" s="101"/>
      <c r="AC490" s="101"/>
      <c r="AD490" s="101"/>
      <c r="AE490" s="101"/>
      <c r="AF490" s="101"/>
      <c r="AG490" s="101"/>
      <c r="AH490" s="101"/>
      <c r="AI490" s="101"/>
      <c r="AJ490" s="101"/>
      <c r="AK490" s="101"/>
      <c r="AL490" s="101"/>
      <c r="AM490" s="101"/>
      <c r="AN490" s="101"/>
      <c r="AO490" s="101"/>
    </row>
    <row r="491" spans="1:41">
      <c r="A491" s="115"/>
      <c r="B491" s="116"/>
      <c r="C491" s="117"/>
      <c r="D491" s="116"/>
      <c r="E491" s="101"/>
      <c r="F491" s="101"/>
      <c r="G491" s="101"/>
      <c r="H491" s="101"/>
      <c r="I491" s="101"/>
      <c r="J491" s="101"/>
      <c r="K491" s="101"/>
      <c r="L491" s="101"/>
      <c r="M491" s="101"/>
      <c r="N491" s="101"/>
      <c r="O491" s="101"/>
      <c r="P491" s="101"/>
      <c r="Q491" s="101"/>
      <c r="R491" s="101"/>
      <c r="S491" s="101"/>
      <c r="T491" s="101"/>
      <c r="U491" s="101"/>
      <c r="V491" s="101"/>
      <c r="W491" s="101"/>
      <c r="X491" s="101"/>
      <c r="Y491" s="101"/>
      <c r="Z491" s="101"/>
      <c r="AA491" s="101"/>
      <c r="AB491" s="101"/>
      <c r="AC491" s="101"/>
      <c r="AD491" s="101"/>
      <c r="AE491" s="101"/>
      <c r="AF491" s="101"/>
      <c r="AG491" s="101"/>
      <c r="AH491" s="101"/>
      <c r="AI491" s="101"/>
      <c r="AJ491" s="101"/>
      <c r="AK491" s="101"/>
      <c r="AL491" s="101"/>
      <c r="AM491" s="101"/>
      <c r="AN491" s="101"/>
      <c r="AO491" s="101"/>
    </row>
    <row r="492" spans="1:41">
      <c r="A492" s="115"/>
      <c r="B492" s="116"/>
      <c r="C492" s="117"/>
      <c r="D492" s="116"/>
      <c r="E492" s="101"/>
      <c r="F492" s="101"/>
      <c r="G492" s="101"/>
      <c r="H492" s="101"/>
      <c r="I492" s="101"/>
      <c r="J492" s="101"/>
      <c r="K492" s="101"/>
      <c r="L492" s="101"/>
      <c r="M492" s="101"/>
      <c r="N492" s="101"/>
      <c r="O492" s="101"/>
      <c r="P492" s="101"/>
      <c r="Q492" s="101"/>
      <c r="R492" s="101"/>
      <c r="S492" s="101"/>
      <c r="T492" s="101"/>
      <c r="U492" s="101"/>
      <c r="V492" s="101"/>
      <c r="W492" s="101"/>
      <c r="X492" s="101"/>
      <c r="Y492" s="101"/>
      <c r="Z492" s="101"/>
      <c r="AA492" s="101"/>
      <c r="AB492" s="101"/>
      <c r="AC492" s="101"/>
      <c r="AD492" s="101"/>
      <c r="AE492" s="101"/>
      <c r="AF492" s="101"/>
      <c r="AG492" s="101"/>
      <c r="AH492" s="101"/>
      <c r="AI492" s="101"/>
      <c r="AJ492" s="101"/>
      <c r="AK492" s="101"/>
      <c r="AL492" s="101"/>
      <c r="AM492" s="101"/>
      <c r="AN492" s="101"/>
      <c r="AO492" s="101"/>
    </row>
    <row r="493" spans="1:41">
      <c r="A493" s="115"/>
      <c r="B493" s="116"/>
      <c r="C493" s="117"/>
      <c r="D493" s="116"/>
      <c r="E493" s="101"/>
      <c r="F493" s="101"/>
      <c r="G493" s="101"/>
      <c r="H493" s="101"/>
      <c r="I493" s="101"/>
      <c r="J493" s="101"/>
      <c r="K493" s="101"/>
      <c r="L493" s="101"/>
      <c r="M493" s="101"/>
      <c r="N493" s="101"/>
      <c r="O493" s="101"/>
      <c r="P493" s="101"/>
      <c r="Q493" s="101"/>
      <c r="R493" s="101"/>
      <c r="S493" s="101"/>
      <c r="T493" s="101"/>
      <c r="U493" s="101"/>
      <c r="V493" s="101"/>
      <c r="W493" s="101"/>
      <c r="X493" s="101"/>
      <c r="Y493" s="101"/>
      <c r="Z493" s="101"/>
      <c r="AA493" s="101"/>
      <c r="AB493" s="101"/>
      <c r="AC493" s="101"/>
      <c r="AD493" s="101"/>
      <c r="AE493" s="101"/>
      <c r="AF493" s="101"/>
      <c r="AG493" s="101"/>
      <c r="AH493" s="101"/>
      <c r="AI493" s="101"/>
      <c r="AJ493" s="101"/>
      <c r="AK493" s="101"/>
      <c r="AL493" s="101"/>
      <c r="AM493" s="101"/>
      <c r="AN493" s="101"/>
      <c r="AO493" s="101"/>
    </row>
    <row r="494" spans="1:41">
      <c r="A494" s="115"/>
      <c r="B494" s="116"/>
      <c r="C494" s="117"/>
      <c r="D494" s="116"/>
      <c r="E494" s="101"/>
      <c r="F494" s="101"/>
      <c r="G494" s="101"/>
      <c r="H494" s="101"/>
      <c r="I494" s="101"/>
      <c r="J494" s="101"/>
      <c r="K494" s="101"/>
      <c r="L494" s="101"/>
      <c r="M494" s="101"/>
      <c r="N494" s="101"/>
      <c r="O494" s="101"/>
      <c r="P494" s="101"/>
      <c r="Q494" s="101"/>
      <c r="R494" s="101"/>
      <c r="S494" s="101"/>
      <c r="T494" s="101"/>
      <c r="U494" s="101"/>
      <c r="V494" s="101"/>
      <c r="W494" s="101"/>
      <c r="X494" s="101"/>
      <c r="Y494" s="101"/>
      <c r="Z494" s="101"/>
      <c r="AA494" s="101"/>
      <c r="AB494" s="101"/>
      <c r="AC494" s="101"/>
      <c r="AD494" s="101"/>
      <c r="AE494" s="101"/>
      <c r="AF494" s="101"/>
      <c r="AG494" s="101"/>
      <c r="AH494" s="101"/>
      <c r="AI494" s="101"/>
      <c r="AJ494" s="101"/>
      <c r="AK494" s="101"/>
      <c r="AL494" s="101"/>
      <c r="AM494" s="101"/>
      <c r="AN494" s="101"/>
      <c r="AO494" s="101"/>
    </row>
    <row r="495" spans="1:41">
      <c r="A495" s="115"/>
      <c r="B495" s="116"/>
      <c r="C495" s="117"/>
      <c r="D495" s="116"/>
      <c r="E495" s="101"/>
      <c r="F495" s="101"/>
      <c r="G495" s="101"/>
      <c r="H495" s="101"/>
      <c r="I495" s="101"/>
      <c r="J495" s="101"/>
      <c r="K495" s="101"/>
      <c r="L495" s="101"/>
      <c r="M495" s="101"/>
      <c r="N495" s="101"/>
      <c r="O495" s="101"/>
      <c r="P495" s="101"/>
      <c r="Q495" s="101"/>
      <c r="R495" s="101"/>
      <c r="S495" s="101"/>
      <c r="T495" s="101"/>
      <c r="U495" s="101"/>
      <c r="V495" s="101"/>
      <c r="W495" s="101"/>
      <c r="X495" s="101"/>
      <c r="Y495" s="101"/>
      <c r="Z495" s="101"/>
      <c r="AA495" s="101"/>
      <c r="AB495" s="101"/>
      <c r="AC495" s="101"/>
      <c r="AD495" s="101"/>
      <c r="AE495" s="101"/>
      <c r="AF495" s="101"/>
      <c r="AG495" s="101"/>
      <c r="AH495" s="101"/>
      <c r="AI495" s="101"/>
      <c r="AJ495" s="101"/>
      <c r="AK495" s="101"/>
      <c r="AL495" s="101"/>
      <c r="AM495" s="101"/>
      <c r="AN495" s="101"/>
      <c r="AO495" s="101"/>
    </row>
    <row r="496" spans="1:41">
      <c r="A496" s="115"/>
      <c r="B496" s="116"/>
      <c r="C496" s="117"/>
      <c r="D496" s="116"/>
      <c r="E496" s="101"/>
      <c r="F496" s="101"/>
      <c r="G496" s="101"/>
      <c r="H496" s="101"/>
      <c r="I496" s="101"/>
      <c r="J496" s="101"/>
      <c r="K496" s="101"/>
      <c r="L496" s="101"/>
      <c r="M496" s="101"/>
      <c r="N496" s="101"/>
      <c r="O496" s="101"/>
      <c r="P496" s="101"/>
      <c r="Q496" s="101"/>
      <c r="R496" s="101"/>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row>
    <row r="497" spans="1:41">
      <c r="A497" s="115"/>
      <c r="B497" s="116"/>
      <c r="C497" s="117"/>
      <c r="D497" s="116"/>
      <c r="E497" s="101"/>
      <c r="F497" s="101"/>
      <c r="G497" s="101"/>
      <c r="H497" s="101"/>
      <c r="I497" s="101"/>
      <c r="J497" s="101"/>
      <c r="K497" s="101"/>
      <c r="L497" s="101"/>
      <c r="M497" s="101"/>
      <c r="N497" s="101"/>
      <c r="O497" s="101"/>
      <c r="P497" s="101"/>
      <c r="Q497" s="101"/>
      <c r="R497" s="101"/>
      <c r="S497" s="101"/>
      <c r="T497" s="101"/>
      <c r="U497" s="101"/>
      <c r="V497" s="101"/>
      <c r="W497" s="101"/>
      <c r="X497" s="101"/>
      <c r="Y497" s="101"/>
      <c r="Z497" s="101"/>
      <c r="AA497" s="101"/>
      <c r="AB497" s="101"/>
      <c r="AC497" s="101"/>
      <c r="AD497" s="101"/>
      <c r="AE497" s="101"/>
      <c r="AF497" s="101"/>
      <c r="AG497" s="101"/>
      <c r="AH497" s="101"/>
      <c r="AI497" s="101"/>
      <c r="AJ497" s="101"/>
      <c r="AK497" s="101"/>
      <c r="AL497" s="101"/>
      <c r="AM497" s="101"/>
      <c r="AN497" s="101"/>
      <c r="AO497" s="101"/>
    </row>
    <row r="498" spans="1:41">
      <c r="A498" s="115"/>
      <c r="B498" s="116"/>
      <c r="C498" s="117"/>
      <c r="D498" s="116"/>
      <c r="E498" s="101"/>
      <c r="F498" s="101"/>
      <c r="G498" s="101"/>
      <c r="H498" s="101"/>
      <c r="I498" s="101"/>
      <c r="J498" s="101"/>
      <c r="K498" s="101"/>
      <c r="L498" s="101"/>
      <c r="M498" s="101"/>
      <c r="N498" s="101"/>
      <c r="O498" s="101"/>
      <c r="P498" s="101"/>
      <c r="Q498" s="101"/>
      <c r="R498" s="101"/>
      <c r="S498" s="101"/>
      <c r="T498" s="101"/>
      <c r="U498" s="101"/>
      <c r="V498" s="101"/>
      <c r="W498" s="101"/>
      <c r="X498" s="101"/>
      <c r="Y498" s="101"/>
      <c r="Z498" s="101"/>
      <c r="AA498" s="101"/>
      <c r="AB498" s="101"/>
      <c r="AC498" s="101"/>
      <c r="AD498" s="101"/>
      <c r="AE498" s="101"/>
      <c r="AF498" s="101"/>
      <c r="AG498" s="101"/>
      <c r="AH498" s="101"/>
      <c r="AI498" s="101"/>
      <c r="AJ498" s="101"/>
      <c r="AK498" s="101"/>
      <c r="AL498" s="101"/>
      <c r="AM498" s="101"/>
      <c r="AN498" s="101"/>
      <c r="AO498" s="101"/>
    </row>
    <row r="499" spans="1:41">
      <c r="A499" s="115"/>
      <c r="B499" s="116"/>
      <c r="C499" s="117"/>
      <c r="D499" s="116"/>
      <c r="E499" s="101"/>
      <c r="F499" s="101"/>
      <c r="G499" s="101"/>
      <c r="H499" s="101"/>
      <c r="I499" s="101"/>
      <c r="J499" s="101"/>
      <c r="K499" s="101"/>
      <c r="L499" s="101"/>
      <c r="M499" s="101"/>
      <c r="N499" s="101"/>
      <c r="O499" s="101"/>
      <c r="P499" s="101"/>
      <c r="Q499" s="101"/>
      <c r="R499" s="101"/>
      <c r="S499" s="101"/>
      <c r="T499" s="101"/>
      <c r="U499" s="101"/>
      <c r="V499" s="101"/>
      <c r="W499" s="101"/>
      <c r="X499" s="101"/>
      <c r="Y499" s="101"/>
      <c r="Z499" s="101"/>
      <c r="AA499" s="101"/>
      <c r="AB499" s="101"/>
      <c r="AC499" s="101"/>
      <c r="AD499" s="101"/>
      <c r="AE499" s="101"/>
      <c r="AF499" s="101"/>
      <c r="AG499" s="101"/>
      <c r="AH499" s="101"/>
      <c r="AI499" s="101"/>
      <c r="AJ499" s="101"/>
      <c r="AK499" s="101"/>
      <c r="AL499" s="101"/>
      <c r="AM499" s="101"/>
      <c r="AN499" s="101"/>
      <c r="AO499" s="101"/>
    </row>
    <row r="500" spans="1:41">
      <c r="A500" s="115"/>
      <c r="B500" s="116"/>
      <c r="C500" s="117"/>
      <c r="D500" s="116"/>
      <c r="E500" s="101"/>
      <c r="F500" s="101"/>
      <c r="G500" s="101"/>
      <c r="H500" s="101"/>
      <c r="I500" s="101"/>
      <c r="J500" s="101"/>
      <c r="K500" s="101"/>
      <c r="L500" s="101"/>
      <c r="M500" s="101"/>
      <c r="N500" s="101"/>
      <c r="O500" s="101"/>
      <c r="P500" s="101"/>
      <c r="Q500" s="101"/>
      <c r="R500" s="101"/>
      <c r="S500" s="101"/>
      <c r="T500" s="101"/>
      <c r="U500" s="101"/>
      <c r="V500" s="101"/>
      <c r="W500" s="101"/>
      <c r="X500" s="101"/>
      <c r="Y500" s="101"/>
      <c r="Z500" s="101"/>
      <c r="AA500" s="101"/>
      <c r="AB500" s="101"/>
      <c r="AC500" s="101"/>
      <c r="AD500" s="101"/>
      <c r="AE500" s="101"/>
      <c r="AF500" s="101"/>
      <c r="AG500" s="101"/>
      <c r="AH500" s="101"/>
      <c r="AI500" s="101"/>
      <c r="AJ500" s="101"/>
      <c r="AK500" s="101"/>
      <c r="AL500" s="101"/>
      <c r="AM500" s="101"/>
      <c r="AN500" s="101"/>
      <c r="AO500" s="101"/>
    </row>
    <row r="501" spans="1:41">
      <c r="A501" s="115"/>
      <c r="B501" s="116"/>
      <c r="C501" s="117"/>
      <c r="D501" s="116"/>
      <c r="E501" s="101"/>
      <c r="F501" s="101"/>
      <c r="G501" s="101"/>
      <c r="H501" s="101"/>
      <c r="I501" s="101"/>
      <c r="J501" s="101"/>
      <c r="K501" s="101"/>
      <c r="L501" s="101"/>
      <c r="M501" s="101"/>
      <c r="N501" s="101"/>
      <c r="O501" s="101"/>
      <c r="P501" s="101"/>
      <c r="Q501" s="101"/>
      <c r="R501" s="101"/>
      <c r="S501" s="101"/>
      <c r="T501" s="101"/>
      <c r="U501" s="101"/>
      <c r="V501" s="101"/>
      <c r="W501" s="101"/>
      <c r="X501" s="101"/>
      <c r="Y501" s="101"/>
      <c r="Z501" s="101"/>
      <c r="AA501" s="101"/>
      <c r="AB501" s="101"/>
      <c r="AC501" s="101"/>
      <c r="AD501" s="101"/>
      <c r="AE501" s="101"/>
      <c r="AF501" s="101"/>
      <c r="AG501" s="101"/>
      <c r="AH501" s="101"/>
      <c r="AI501" s="101"/>
      <c r="AJ501" s="101"/>
      <c r="AK501" s="101"/>
      <c r="AL501" s="101"/>
      <c r="AM501" s="101"/>
      <c r="AN501" s="101"/>
      <c r="AO501" s="101"/>
    </row>
    <row r="502" spans="1:41">
      <c r="A502" s="115"/>
      <c r="B502" s="116"/>
      <c r="C502" s="117"/>
      <c r="D502" s="116"/>
      <c r="E502" s="101"/>
      <c r="F502" s="101"/>
      <c r="G502" s="101"/>
      <c r="H502" s="101"/>
      <c r="I502" s="101"/>
      <c r="J502" s="101"/>
      <c r="K502" s="101"/>
      <c r="L502" s="101"/>
      <c r="M502" s="101"/>
      <c r="N502" s="101"/>
      <c r="O502" s="101"/>
      <c r="P502" s="101"/>
      <c r="Q502" s="101"/>
      <c r="R502" s="101"/>
      <c r="S502" s="101"/>
      <c r="T502" s="101"/>
      <c r="U502" s="101"/>
      <c r="V502" s="101"/>
      <c r="W502" s="101"/>
      <c r="X502" s="101"/>
      <c r="Y502" s="101"/>
      <c r="Z502" s="101"/>
      <c r="AA502" s="101"/>
      <c r="AB502" s="101"/>
      <c r="AC502" s="101"/>
      <c r="AD502" s="101"/>
      <c r="AE502" s="101"/>
      <c r="AF502" s="101"/>
      <c r="AG502" s="101"/>
      <c r="AH502" s="101"/>
      <c r="AI502" s="101"/>
      <c r="AJ502" s="101"/>
      <c r="AK502" s="101"/>
      <c r="AL502" s="101"/>
      <c r="AM502" s="101"/>
      <c r="AN502" s="101"/>
      <c r="AO502" s="101"/>
    </row>
    <row r="503" spans="1:41">
      <c r="A503" s="115"/>
      <c r="B503" s="116"/>
      <c r="C503" s="117"/>
      <c r="D503" s="116"/>
      <c r="E503" s="101"/>
      <c r="F503" s="101"/>
      <c r="G503" s="101"/>
      <c r="H503" s="101"/>
      <c r="I503" s="101"/>
      <c r="J503" s="101"/>
      <c r="K503" s="101"/>
      <c r="L503" s="101"/>
      <c r="M503" s="101"/>
      <c r="N503" s="101"/>
      <c r="O503" s="101"/>
      <c r="P503" s="101"/>
      <c r="Q503" s="101"/>
      <c r="R503" s="101"/>
      <c r="S503" s="101"/>
      <c r="T503" s="101"/>
      <c r="U503" s="101"/>
      <c r="V503" s="101"/>
      <c r="W503" s="101"/>
      <c r="X503" s="101"/>
      <c r="Y503" s="101"/>
      <c r="Z503" s="101"/>
      <c r="AA503" s="101"/>
      <c r="AB503" s="101"/>
      <c r="AC503" s="101"/>
      <c r="AD503" s="101"/>
      <c r="AE503" s="101"/>
      <c r="AF503" s="101"/>
      <c r="AG503" s="101"/>
      <c r="AH503" s="101"/>
      <c r="AI503" s="101"/>
      <c r="AJ503" s="101"/>
      <c r="AK503" s="101"/>
      <c r="AL503" s="101"/>
      <c r="AM503" s="101"/>
      <c r="AN503" s="101"/>
      <c r="AO503" s="101"/>
    </row>
    <row r="504" spans="1:41">
      <c r="A504" s="115"/>
      <c r="B504" s="116"/>
      <c r="C504" s="117"/>
      <c r="D504" s="116"/>
      <c r="E504" s="101"/>
      <c r="F504" s="101"/>
      <c r="G504" s="101"/>
      <c r="H504" s="101"/>
      <c r="I504" s="101"/>
      <c r="J504" s="101"/>
      <c r="K504" s="101"/>
      <c r="L504" s="101"/>
      <c r="M504" s="101"/>
      <c r="N504" s="101"/>
      <c r="O504" s="101"/>
      <c r="P504" s="101"/>
      <c r="Q504" s="101"/>
      <c r="R504" s="101"/>
      <c r="S504" s="101"/>
      <c r="T504" s="101"/>
      <c r="U504" s="101"/>
      <c r="V504" s="101"/>
      <c r="W504" s="101"/>
      <c r="X504" s="101"/>
      <c r="Y504" s="101"/>
      <c r="Z504" s="101"/>
      <c r="AA504" s="101"/>
      <c r="AB504" s="101"/>
      <c r="AC504" s="101"/>
      <c r="AD504" s="101"/>
      <c r="AE504" s="101"/>
      <c r="AF504" s="101"/>
      <c r="AG504" s="101"/>
      <c r="AH504" s="101"/>
      <c r="AI504" s="101"/>
      <c r="AJ504" s="101"/>
      <c r="AK504" s="101"/>
      <c r="AL504" s="101"/>
      <c r="AM504" s="101"/>
      <c r="AN504" s="101"/>
      <c r="AO504" s="101"/>
    </row>
    <row r="505" spans="1:41">
      <c r="A505" s="115"/>
      <c r="B505" s="116"/>
      <c r="C505" s="117"/>
      <c r="D505" s="116"/>
      <c r="E505" s="101"/>
      <c r="F505" s="101"/>
      <c r="G505" s="101"/>
      <c r="H505" s="101"/>
      <c r="I505" s="101"/>
      <c r="J505" s="101"/>
      <c r="K505" s="101"/>
      <c r="L505" s="101"/>
      <c r="M505" s="101"/>
      <c r="N505" s="101"/>
      <c r="O505" s="101"/>
      <c r="P505" s="101"/>
      <c r="Q505" s="101"/>
      <c r="R505" s="101"/>
      <c r="S505" s="101"/>
      <c r="T505" s="101"/>
      <c r="U505" s="101"/>
      <c r="V505" s="101"/>
      <c r="W505" s="101"/>
      <c r="X505" s="101"/>
      <c r="Y505" s="101"/>
      <c r="Z505" s="101"/>
      <c r="AA505" s="101"/>
      <c r="AB505" s="101"/>
      <c r="AC505" s="101"/>
      <c r="AD505" s="101"/>
      <c r="AE505" s="101"/>
      <c r="AF505" s="101"/>
      <c r="AG505" s="101"/>
      <c r="AH505" s="101"/>
      <c r="AI505" s="101"/>
      <c r="AJ505" s="101"/>
      <c r="AK505" s="101"/>
      <c r="AL505" s="101"/>
      <c r="AM505" s="101"/>
      <c r="AN505" s="101"/>
      <c r="AO505" s="101"/>
    </row>
    <row r="506" spans="1:41">
      <c r="A506" s="115"/>
      <c r="B506" s="116"/>
      <c r="C506" s="117"/>
      <c r="D506" s="116"/>
      <c r="E506" s="101"/>
      <c r="F506" s="101"/>
      <c r="G506" s="101"/>
      <c r="H506" s="101"/>
      <c r="I506" s="101"/>
      <c r="J506" s="101"/>
      <c r="K506" s="101"/>
      <c r="L506" s="101"/>
      <c r="M506" s="101"/>
      <c r="N506" s="101"/>
      <c r="O506" s="101"/>
      <c r="P506" s="101"/>
      <c r="Q506" s="101"/>
      <c r="R506" s="101"/>
      <c r="S506" s="101"/>
      <c r="T506" s="101"/>
      <c r="U506" s="101"/>
      <c r="V506" s="101"/>
      <c r="W506" s="101"/>
      <c r="X506" s="101"/>
      <c r="Y506" s="101"/>
      <c r="Z506" s="101"/>
      <c r="AA506" s="101"/>
      <c r="AB506" s="101"/>
      <c r="AC506" s="101"/>
      <c r="AD506" s="101"/>
      <c r="AE506" s="101"/>
      <c r="AF506" s="101"/>
      <c r="AG506" s="101"/>
      <c r="AH506" s="101"/>
      <c r="AI506" s="101"/>
      <c r="AJ506" s="101"/>
      <c r="AK506" s="101"/>
      <c r="AL506" s="101"/>
      <c r="AM506" s="101"/>
      <c r="AN506" s="101"/>
      <c r="AO506" s="101"/>
    </row>
    <row r="507" spans="1:41">
      <c r="A507" s="115"/>
      <c r="B507" s="116"/>
      <c r="C507" s="117"/>
      <c r="D507" s="116"/>
      <c r="E507" s="101"/>
      <c r="F507" s="101"/>
      <c r="G507" s="101"/>
      <c r="H507" s="101"/>
      <c r="I507" s="101"/>
      <c r="J507" s="101"/>
      <c r="K507" s="101"/>
      <c r="L507" s="101"/>
      <c r="M507" s="101"/>
      <c r="N507" s="101"/>
      <c r="O507" s="101"/>
      <c r="P507" s="101"/>
      <c r="Q507" s="101"/>
      <c r="R507" s="101"/>
      <c r="S507" s="101"/>
      <c r="T507" s="101"/>
      <c r="U507" s="101"/>
      <c r="V507" s="101"/>
      <c r="W507" s="101"/>
      <c r="X507" s="101"/>
      <c r="Y507" s="101"/>
      <c r="Z507" s="101"/>
      <c r="AA507" s="101"/>
      <c r="AB507" s="101"/>
      <c r="AC507" s="101"/>
      <c r="AD507" s="101"/>
      <c r="AE507" s="101"/>
      <c r="AF507" s="101"/>
      <c r="AG507" s="101"/>
      <c r="AH507" s="101"/>
      <c r="AI507" s="101"/>
      <c r="AJ507" s="101"/>
      <c r="AK507" s="101"/>
      <c r="AL507" s="101"/>
      <c r="AM507" s="101"/>
      <c r="AN507" s="101"/>
      <c r="AO507" s="101"/>
    </row>
    <row r="508" spans="1:41">
      <c r="A508" s="115"/>
      <c r="B508" s="116"/>
      <c r="C508" s="117"/>
      <c r="D508" s="116"/>
      <c r="E508" s="101"/>
      <c r="F508" s="101"/>
      <c r="G508" s="101"/>
      <c r="H508" s="101"/>
      <c r="I508" s="101"/>
      <c r="J508" s="101"/>
      <c r="K508" s="101"/>
      <c r="L508" s="101"/>
      <c r="M508" s="101"/>
      <c r="N508" s="101"/>
      <c r="O508" s="101"/>
      <c r="P508" s="101"/>
      <c r="Q508" s="101"/>
      <c r="R508" s="101"/>
      <c r="S508" s="101"/>
      <c r="T508" s="101"/>
      <c r="U508" s="101"/>
      <c r="V508" s="101"/>
      <c r="W508" s="101"/>
      <c r="X508" s="101"/>
      <c r="Y508" s="101"/>
      <c r="Z508" s="101"/>
      <c r="AA508" s="101"/>
      <c r="AB508" s="101"/>
      <c r="AC508" s="101"/>
      <c r="AD508" s="101"/>
      <c r="AE508" s="101"/>
      <c r="AF508" s="101"/>
      <c r="AG508" s="101"/>
      <c r="AH508" s="101"/>
      <c r="AI508" s="101"/>
      <c r="AJ508" s="101"/>
      <c r="AK508" s="101"/>
      <c r="AL508" s="101"/>
      <c r="AM508" s="101"/>
      <c r="AN508" s="101"/>
      <c r="AO508" s="101"/>
    </row>
    <row r="509" spans="1:41">
      <c r="A509" s="115"/>
      <c r="B509" s="116"/>
      <c r="C509" s="117"/>
      <c r="D509" s="116"/>
      <c r="E509" s="101"/>
      <c r="F509" s="101"/>
      <c r="G509" s="101"/>
      <c r="H509" s="101"/>
      <c r="I509" s="101"/>
      <c r="J509" s="101"/>
      <c r="K509" s="101"/>
      <c r="L509" s="101"/>
      <c r="M509" s="101"/>
      <c r="N509" s="101"/>
      <c r="O509" s="101"/>
      <c r="P509" s="101"/>
      <c r="Q509" s="101"/>
      <c r="R509" s="101"/>
      <c r="S509" s="101"/>
      <c r="T509" s="101"/>
      <c r="U509" s="101"/>
      <c r="V509" s="101"/>
      <c r="W509" s="101"/>
      <c r="X509" s="101"/>
      <c r="Y509" s="101"/>
      <c r="Z509" s="101"/>
      <c r="AA509" s="101"/>
      <c r="AB509" s="101"/>
      <c r="AC509" s="101"/>
      <c r="AD509" s="101"/>
      <c r="AE509" s="101"/>
      <c r="AF509" s="101"/>
      <c r="AG509" s="101"/>
      <c r="AH509" s="101"/>
      <c r="AI509" s="101"/>
      <c r="AJ509" s="101"/>
      <c r="AK509" s="101"/>
      <c r="AL509" s="101"/>
      <c r="AM509" s="101"/>
      <c r="AN509" s="101"/>
      <c r="AO509" s="101"/>
    </row>
    <row r="510" spans="1:41">
      <c r="A510" s="115"/>
      <c r="B510" s="116"/>
      <c r="C510" s="117"/>
      <c r="D510" s="116"/>
      <c r="E510" s="101"/>
      <c r="F510" s="101"/>
      <c r="G510" s="101"/>
      <c r="H510" s="101"/>
      <c r="I510" s="101"/>
      <c r="J510" s="101"/>
      <c r="K510" s="101"/>
      <c r="L510" s="101"/>
      <c r="M510" s="101"/>
      <c r="N510" s="101"/>
      <c r="O510" s="101"/>
      <c r="P510" s="101"/>
      <c r="Q510" s="101"/>
      <c r="R510" s="101"/>
      <c r="S510" s="101"/>
      <c r="T510" s="101"/>
      <c r="U510" s="101"/>
      <c r="V510" s="101"/>
      <c r="W510" s="101"/>
      <c r="X510" s="101"/>
      <c r="Y510" s="101"/>
      <c r="Z510" s="101"/>
      <c r="AA510" s="101"/>
      <c r="AB510" s="101"/>
      <c r="AC510" s="101"/>
      <c r="AD510" s="101"/>
      <c r="AE510" s="101"/>
      <c r="AF510" s="101"/>
      <c r="AG510" s="101"/>
      <c r="AH510" s="101"/>
      <c r="AI510" s="101"/>
      <c r="AJ510" s="101"/>
      <c r="AK510" s="101"/>
      <c r="AL510" s="101"/>
      <c r="AM510" s="101"/>
      <c r="AN510" s="101"/>
      <c r="AO510" s="101"/>
    </row>
    <row r="511" spans="1:41">
      <c r="A511" s="115"/>
      <c r="B511" s="116"/>
      <c r="C511" s="117"/>
      <c r="D511" s="116"/>
      <c r="E511" s="101"/>
      <c r="F511" s="101"/>
      <c r="G511" s="101"/>
      <c r="H511" s="101"/>
      <c r="I511" s="101"/>
      <c r="J511" s="101"/>
      <c r="K511" s="101"/>
      <c r="L511" s="101"/>
      <c r="M511" s="101"/>
      <c r="N511" s="101"/>
      <c r="O511" s="101"/>
      <c r="P511" s="101"/>
      <c r="Q511" s="101"/>
      <c r="R511" s="101"/>
      <c r="S511" s="101"/>
      <c r="T511" s="101"/>
      <c r="U511" s="101"/>
      <c r="V511" s="101"/>
      <c r="W511" s="101"/>
      <c r="X511" s="101"/>
      <c r="Y511" s="101"/>
      <c r="Z511" s="101"/>
      <c r="AA511" s="101"/>
      <c r="AB511" s="101"/>
      <c r="AC511" s="101"/>
      <c r="AD511" s="101"/>
      <c r="AE511" s="101"/>
      <c r="AF511" s="101"/>
      <c r="AG511" s="101"/>
      <c r="AH511" s="101"/>
      <c r="AI511" s="101"/>
      <c r="AJ511" s="101"/>
      <c r="AK511" s="101"/>
      <c r="AL511" s="101"/>
      <c r="AM511" s="101"/>
      <c r="AN511" s="101"/>
      <c r="AO511" s="101"/>
    </row>
    <row r="512" spans="1:41">
      <c r="A512" s="115"/>
      <c r="B512" s="116"/>
      <c r="C512" s="117"/>
      <c r="D512" s="116"/>
      <c r="E512" s="101"/>
      <c r="F512" s="101"/>
      <c r="G512" s="101"/>
      <c r="H512" s="101"/>
      <c r="I512" s="101"/>
      <c r="J512" s="101"/>
      <c r="K512" s="101"/>
      <c r="L512" s="101"/>
      <c r="M512" s="101"/>
      <c r="N512" s="101"/>
      <c r="O512" s="101"/>
      <c r="P512" s="101"/>
      <c r="Q512" s="101"/>
      <c r="R512" s="101"/>
      <c r="S512" s="101"/>
      <c r="T512" s="101"/>
      <c r="U512" s="101"/>
      <c r="V512" s="101"/>
      <c r="W512" s="101"/>
      <c r="X512" s="101"/>
      <c r="Y512" s="101"/>
      <c r="Z512" s="101"/>
      <c r="AA512" s="101"/>
      <c r="AB512" s="101"/>
      <c r="AC512" s="101"/>
      <c r="AD512" s="101"/>
      <c r="AE512" s="101"/>
      <c r="AF512" s="101"/>
      <c r="AG512" s="101"/>
      <c r="AH512" s="101"/>
      <c r="AI512" s="101"/>
      <c r="AJ512" s="101"/>
      <c r="AK512" s="101"/>
      <c r="AL512" s="101"/>
      <c r="AM512" s="101"/>
      <c r="AN512" s="101"/>
      <c r="AO512" s="101"/>
    </row>
    <row r="513" spans="1:41">
      <c r="A513" s="115"/>
      <c r="B513" s="116"/>
      <c r="C513" s="117"/>
      <c r="D513" s="116"/>
      <c r="E513" s="101"/>
      <c r="F513" s="101"/>
      <c r="G513" s="101"/>
      <c r="H513" s="101"/>
      <c r="I513" s="101"/>
      <c r="J513" s="101"/>
      <c r="K513" s="101"/>
      <c r="L513" s="101"/>
      <c r="M513" s="101"/>
      <c r="N513" s="101"/>
      <c r="O513" s="101"/>
      <c r="P513" s="101"/>
      <c r="Q513" s="101"/>
      <c r="R513" s="101"/>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row>
    <row r="514" spans="1:41">
      <c r="A514" s="115"/>
      <c r="B514" s="116"/>
      <c r="C514" s="117"/>
      <c r="D514" s="116"/>
      <c r="E514" s="101"/>
      <c r="F514" s="101"/>
      <c r="G514" s="101"/>
      <c r="H514" s="101"/>
      <c r="I514" s="101"/>
      <c r="J514" s="101"/>
      <c r="K514" s="101"/>
      <c r="L514" s="101"/>
      <c r="M514" s="101"/>
      <c r="N514" s="101"/>
      <c r="O514" s="101"/>
      <c r="P514" s="101"/>
      <c r="Q514" s="101"/>
      <c r="R514" s="101"/>
      <c r="S514" s="101"/>
      <c r="T514" s="101"/>
      <c r="U514" s="101"/>
      <c r="V514" s="101"/>
      <c r="W514" s="101"/>
      <c r="X514" s="101"/>
      <c r="Y514" s="101"/>
      <c r="Z514" s="101"/>
      <c r="AA514" s="101"/>
      <c r="AB514" s="101"/>
      <c r="AC514" s="101"/>
      <c r="AD514" s="101"/>
      <c r="AE514" s="101"/>
      <c r="AF514" s="101"/>
      <c r="AG514" s="101"/>
      <c r="AH514" s="101"/>
      <c r="AI514" s="101"/>
      <c r="AJ514" s="101"/>
      <c r="AK514" s="101"/>
      <c r="AL514" s="101"/>
      <c r="AM514" s="101"/>
      <c r="AN514" s="101"/>
      <c r="AO514" s="101"/>
    </row>
    <row r="515" spans="1:41">
      <c r="A515" s="115"/>
      <c r="B515" s="116"/>
      <c r="C515" s="117"/>
      <c r="D515" s="116"/>
      <c r="E515" s="101"/>
      <c r="F515" s="101"/>
      <c r="G515" s="101"/>
      <c r="H515" s="101"/>
      <c r="I515" s="101"/>
      <c r="J515" s="101"/>
      <c r="K515" s="101"/>
      <c r="L515" s="101"/>
      <c r="M515" s="101"/>
      <c r="N515" s="101"/>
      <c r="O515" s="101"/>
      <c r="P515" s="101"/>
      <c r="Q515" s="101"/>
      <c r="R515" s="101"/>
      <c r="S515" s="101"/>
      <c r="T515" s="101"/>
      <c r="U515" s="101"/>
      <c r="V515" s="101"/>
      <c r="W515" s="101"/>
      <c r="X515" s="101"/>
      <c r="Y515" s="101"/>
      <c r="Z515" s="101"/>
      <c r="AA515" s="101"/>
      <c r="AB515" s="101"/>
      <c r="AC515" s="101"/>
      <c r="AD515" s="101"/>
      <c r="AE515" s="101"/>
      <c r="AF515" s="101"/>
      <c r="AG515" s="101"/>
      <c r="AH515" s="101"/>
      <c r="AI515" s="101"/>
      <c r="AJ515" s="101"/>
      <c r="AK515" s="101"/>
      <c r="AL515" s="101"/>
      <c r="AM515" s="101"/>
      <c r="AN515" s="101"/>
      <c r="AO515" s="101"/>
    </row>
    <row r="516" spans="1:41">
      <c r="A516" s="115"/>
      <c r="B516" s="116"/>
      <c r="C516" s="117"/>
      <c r="D516" s="116"/>
      <c r="E516" s="101"/>
      <c r="F516" s="101"/>
      <c r="G516" s="101"/>
      <c r="H516" s="101"/>
      <c r="I516" s="101"/>
      <c r="J516" s="101"/>
      <c r="K516" s="101"/>
      <c r="L516" s="101"/>
      <c r="M516" s="101"/>
      <c r="N516" s="101"/>
      <c r="O516" s="101"/>
      <c r="P516" s="101"/>
      <c r="Q516" s="101"/>
      <c r="R516" s="101"/>
      <c r="S516" s="101"/>
      <c r="T516" s="101"/>
      <c r="U516" s="101"/>
      <c r="V516" s="101"/>
      <c r="W516" s="101"/>
      <c r="X516" s="101"/>
      <c r="Y516" s="101"/>
      <c r="Z516" s="101"/>
      <c r="AA516" s="101"/>
      <c r="AB516" s="101"/>
      <c r="AC516" s="101"/>
      <c r="AD516" s="101"/>
      <c r="AE516" s="101"/>
      <c r="AF516" s="101"/>
      <c r="AG516" s="101"/>
      <c r="AH516" s="101"/>
      <c r="AI516" s="101"/>
      <c r="AJ516" s="101"/>
      <c r="AK516" s="101"/>
      <c r="AL516" s="101"/>
      <c r="AM516" s="101"/>
      <c r="AN516" s="101"/>
      <c r="AO516" s="101"/>
    </row>
    <row r="517" spans="1:41">
      <c r="A517" s="115"/>
      <c r="B517" s="116"/>
      <c r="C517" s="117"/>
      <c r="D517" s="116"/>
      <c r="E517" s="101"/>
      <c r="F517" s="101"/>
      <c r="G517" s="101"/>
      <c r="H517" s="101"/>
      <c r="I517" s="101"/>
      <c r="J517" s="101"/>
      <c r="K517" s="101"/>
      <c r="L517" s="101"/>
      <c r="M517" s="101"/>
      <c r="N517" s="101"/>
      <c r="O517" s="101"/>
      <c r="P517" s="101"/>
      <c r="Q517" s="101"/>
      <c r="R517" s="101"/>
      <c r="S517" s="101"/>
      <c r="T517" s="101"/>
      <c r="U517" s="101"/>
      <c r="V517" s="101"/>
      <c r="W517" s="101"/>
      <c r="X517" s="101"/>
      <c r="Y517" s="101"/>
      <c r="Z517" s="101"/>
      <c r="AA517" s="101"/>
      <c r="AB517" s="101"/>
      <c r="AC517" s="101"/>
      <c r="AD517" s="101"/>
      <c r="AE517" s="101"/>
      <c r="AF517" s="101"/>
      <c r="AG517" s="101"/>
      <c r="AH517" s="101"/>
      <c r="AI517" s="101"/>
      <c r="AJ517" s="101"/>
      <c r="AK517" s="101"/>
      <c r="AL517" s="101"/>
      <c r="AM517" s="101"/>
      <c r="AN517" s="101"/>
      <c r="AO517" s="101"/>
    </row>
    <row r="518" spans="1:41">
      <c r="A518" s="115"/>
      <c r="B518" s="116"/>
      <c r="C518" s="117"/>
      <c r="D518" s="116"/>
      <c r="E518" s="101"/>
      <c r="F518" s="101"/>
      <c r="G518" s="101"/>
      <c r="H518" s="101"/>
      <c r="I518" s="101"/>
      <c r="J518" s="101"/>
      <c r="K518" s="101"/>
      <c r="L518" s="101"/>
      <c r="M518" s="101"/>
      <c r="N518" s="101"/>
      <c r="O518" s="101"/>
      <c r="P518" s="101"/>
      <c r="Q518" s="101"/>
      <c r="R518" s="101"/>
      <c r="S518" s="101"/>
      <c r="T518" s="101"/>
      <c r="U518" s="101"/>
      <c r="V518" s="101"/>
      <c r="W518" s="101"/>
      <c r="X518" s="101"/>
      <c r="Y518" s="101"/>
      <c r="Z518" s="101"/>
      <c r="AA518" s="101"/>
      <c r="AB518" s="101"/>
      <c r="AC518" s="101"/>
      <c r="AD518" s="101"/>
      <c r="AE518" s="101"/>
      <c r="AF518" s="101"/>
      <c r="AG518" s="101"/>
      <c r="AH518" s="101"/>
      <c r="AI518" s="101"/>
      <c r="AJ518" s="101"/>
      <c r="AK518" s="101"/>
      <c r="AL518" s="101"/>
      <c r="AM518" s="101"/>
      <c r="AN518" s="101"/>
      <c r="AO518" s="101"/>
    </row>
    <row r="519" spans="1:41">
      <c r="A519" s="115"/>
      <c r="B519" s="116"/>
      <c r="C519" s="117"/>
      <c r="D519" s="116"/>
      <c r="E519" s="101"/>
      <c r="F519" s="101"/>
      <c r="G519" s="101"/>
      <c r="H519" s="101"/>
      <c r="I519" s="101"/>
      <c r="J519" s="101"/>
      <c r="K519" s="101"/>
      <c r="L519" s="101"/>
      <c r="M519" s="101"/>
      <c r="N519" s="101"/>
      <c r="O519" s="101"/>
      <c r="P519" s="101"/>
      <c r="Q519" s="101"/>
      <c r="R519" s="101"/>
      <c r="S519" s="101"/>
      <c r="T519" s="101"/>
      <c r="U519" s="101"/>
      <c r="V519" s="101"/>
      <c r="W519" s="101"/>
      <c r="X519" s="101"/>
      <c r="Y519" s="101"/>
      <c r="Z519" s="101"/>
      <c r="AA519" s="101"/>
      <c r="AB519" s="101"/>
      <c r="AC519" s="101"/>
      <c r="AD519" s="101"/>
      <c r="AE519" s="101"/>
      <c r="AF519" s="101"/>
      <c r="AG519" s="101"/>
      <c r="AH519" s="101"/>
      <c r="AI519" s="101"/>
      <c r="AJ519" s="101"/>
      <c r="AK519" s="101"/>
      <c r="AL519" s="101"/>
      <c r="AM519" s="101"/>
      <c r="AN519" s="101"/>
      <c r="AO519" s="101"/>
    </row>
    <row r="520" spans="1:41">
      <c r="A520" s="115"/>
      <c r="B520" s="116"/>
      <c r="C520" s="117"/>
      <c r="D520" s="116"/>
      <c r="E520" s="101"/>
      <c r="F520" s="101"/>
      <c r="G520" s="101"/>
      <c r="H520" s="101"/>
      <c r="I520" s="101"/>
      <c r="J520" s="101"/>
      <c r="K520" s="101"/>
      <c r="L520" s="101"/>
      <c r="M520" s="101"/>
      <c r="N520" s="101"/>
      <c r="O520" s="101"/>
      <c r="P520" s="101"/>
      <c r="Q520" s="101"/>
      <c r="R520" s="101"/>
      <c r="S520" s="101"/>
      <c r="T520" s="101"/>
      <c r="U520" s="101"/>
      <c r="V520" s="101"/>
      <c r="W520" s="101"/>
      <c r="X520" s="101"/>
      <c r="Y520" s="101"/>
      <c r="Z520" s="101"/>
      <c r="AA520" s="101"/>
      <c r="AB520" s="101"/>
      <c r="AC520" s="101"/>
      <c r="AD520" s="101"/>
      <c r="AE520" s="101"/>
      <c r="AF520" s="101"/>
      <c r="AG520" s="101"/>
      <c r="AH520" s="101"/>
      <c r="AI520" s="101"/>
      <c r="AJ520" s="101"/>
      <c r="AK520" s="101"/>
      <c r="AL520" s="101"/>
      <c r="AM520" s="101"/>
      <c r="AN520" s="101"/>
      <c r="AO520" s="101"/>
    </row>
    <row r="521" spans="1:41">
      <c r="A521" s="115"/>
      <c r="B521" s="116"/>
      <c r="C521" s="117"/>
      <c r="D521" s="116"/>
      <c r="E521" s="101"/>
      <c r="F521" s="101"/>
      <c r="G521" s="101"/>
      <c r="H521" s="101"/>
      <c r="I521" s="101"/>
      <c r="J521" s="101"/>
      <c r="K521" s="101"/>
      <c r="L521" s="101"/>
      <c r="M521" s="101"/>
      <c r="N521" s="101"/>
      <c r="O521" s="101"/>
      <c r="P521" s="101"/>
      <c r="Q521" s="101"/>
      <c r="R521" s="101"/>
      <c r="S521" s="101"/>
      <c r="T521" s="101"/>
      <c r="U521" s="101"/>
      <c r="V521" s="101"/>
      <c r="W521" s="101"/>
      <c r="X521" s="101"/>
      <c r="Y521" s="101"/>
      <c r="Z521" s="101"/>
      <c r="AA521" s="101"/>
      <c r="AB521" s="101"/>
      <c r="AC521" s="101"/>
      <c r="AD521" s="101"/>
      <c r="AE521" s="101"/>
      <c r="AF521" s="101"/>
      <c r="AG521" s="101"/>
      <c r="AH521" s="101"/>
      <c r="AI521" s="101"/>
      <c r="AJ521" s="101"/>
      <c r="AK521" s="101"/>
      <c r="AL521" s="101"/>
      <c r="AM521" s="101"/>
      <c r="AN521" s="101"/>
      <c r="AO521" s="101"/>
    </row>
    <row r="522" spans="1:41">
      <c r="A522" s="115"/>
      <c r="B522" s="116"/>
      <c r="C522" s="117"/>
      <c r="D522" s="116"/>
      <c r="E522" s="101"/>
      <c r="F522" s="101"/>
      <c r="G522" s="101"/>
      <c r="H522" s="101"/>
      <c r="I522" s="101"/>
      <c r="J522" s="101"/>
      <c r="K522" s="101"/>
      <c r="L522" s="101"/>
      <c r="M522" s="101"/>
      <c r="N522" s="101"/>
      <c r="O522" s="101"/>
      <c r="P522" s="101"/>
      <c r="Q522" s="101"/>
      <c r="R522" s="101"/>
      <c r="S522" s="101"/>
      <c r="T522" s="101"/>
      <c r="U522" s="101"/>
      <c r="V522" s="101"/>
      <c r="W522" s="101"/>
      <c r="X522" s="101"/>
      <c r="Y522" s="101"/>
      <c r="Z522" s="101"/>
      <c r="AA522" s="101"/>
      <c r="AB522" s="101"/>
      <c r="AC522" s="101"/>
      <c r="AD522" s="101"/>
      <c r="AE522" s="101"/>
      <c r="AF522" s="101"/>
      <c r="AG522" s="101"/>
      <c r="AH522" s="101"/>
      <c r="AI522" s="101"/>
      <c r="AJ522" s="101"/>
      <c r="AK522" s="101"/>
      <c r="AL522" s="101"/>
      <c r="AM522" s="101"/>
      <c r="AN522" s="101"/>
      <c r="AO522" s="101"/>
    </row>
    <row r="523" spans="1:41">
      <c r="A523" s="115"/>
      <c r="B523" s="116"/>
      <c r="C523" s="117"/>
      <c r="D523" s="116"/>
      <c r="E523" s="101"/>
      <c r="F523" s="101"/>
      <c r="G523" s="101"/>
      <c r="H523" s="101"/>
      <c r="I523" s="101"/>
      <c r="J523" s="101"/>
      <c r="K523" s="101"/>
      <c r="L523" s="101"/>
      <c r="M523" s="101"/>
      <c r="N523" s="101"/>
      <c r="O523" s="101"/>
      <c r="P523" s="101"/>
      <c r="Q523" s="101"/>
      <c r="R523" s="101"/>
      <c r="S523" s="101"/>
      <c r="T523" s="101"/>
      <c r="U523" s="101"/>
      <c r="V523" s="101"/>
      <c r="W523" s="101"/>
      <c r="X523" s="101"/>
      <c r="Y523" s="101"/>
      <c r="Z523" s="101"/>
      <c r="AA523" s="101"/>
      <c r="AB523" s="101"/>
      <c r="AC523" s="101"/>
      <c r="AD523" s="101"/>
      <c r="AE523" s="101"/>
      <c r="AF523" s="101"/>
      <c r="AG523" s="101"/>
      <c r="AH523" s="101"/>
      <c r="AI523" s="101"/>
      <c r="AJ523" s="101"/>
      <c r="AK523" s="101"/>
      <c r="AL523" s="101"/>
      <c r="AM523" s="101"/>
      <c r="AN523" s="101"/>
      <c r="AO523" s="101"/>
    </row>
    <row r="524" spans="1:41">
      <c r="A524" s="115"/>
      <c r="B524" s="116"/>
      <c r="C524" s="117"/>
      <c r="D524" s="116"/>
      <c r="E524" s="101"/>
      <c r="F524" s="101"/>
      <c r="G524" s="101"/>
      <c r="H524" s="101"/>
      <c r="I524" s="101"/>
      <c r="J524" s="101"/>
      <c r="K524" s="101"/>
      <c r="L524" s="101"/>
      <c r="M524" s="101"/>
      <c r="N524" s="101"/>
      <c r="O524" s="101"/>
      <c r="P524" s="101"/>
      <c r="Q524" s="101"/>
      <c r="R524" s="101"/>
      <c r="S524" s="101"/>
      <c r="T524" s="101"/>
      <c r="U524" s="101"/>
      <c r="V524" s="101"/>
      <c r="W524" s="101"/>
      <c r="X524" s="101"/>
      <c r="Y524" s="101"/>
      <c r="Z524" s="101"/>
      <c r="AA524" s="101"/>
      <c r="AB524" s="101"/>
      <c r="AC524" s="101"/>
      <c r="AD524" s="101"/>
      <c r="AE524" s="101"/>
      <c r="AF524" s="101"/>
      <c r="AG524" s="101"/>
      <c r="AH524" s="101"/>
      <c r="AI524" s="101"/>
      <c r="AJ524" s="101"/>
      <c r="AK524" s="101"/>
      <c r="AL524" s="101"/>
      <c r="AM524" s="101"/>
      <c r="AN524" s="101"/>
      <c r="AO524" s="101"/>
    </row>
    <row r="525" spans="1:41">
      <c r="A525" s="115"/>
      <c r="B525" s="116"/>
      <c r="C525" s="117"/>
      <c r="D525" s="116"/>
      <c r="E525" s="101"/>
      <c r="F525" s="101"/>
      <c r="G525" s="101"/>
      <c r="H525" s="101"/>
      <c r="I525" s="101"/>
      <c r="J525" s="101"/>
      <c r="K525" s="101"/>
      <c r="L525" s="101"/>
      <c r="M525" s="101"/>
      <c r="N525" s="101"/>
      <c r="O525" s="101"/>
      <c r="P525" s="101"/>
      <c r="Q525" s="101"/>
      <c r="R525" s="101"/>
      <c r="S525" s="101"/>
      <c r="T525" s="101"/>
      <c r="U525" s="101"/>
      <c r="V525" s="101"/>
      <c r="W525" s="101"/>
      <c r="X525" s="101"/>
      <c r="Y525" s="101"/>
      <c r="Z525" s="101"/>
      <c r="AA525" s="101"/>
      <c r="AB525" s="101"/>
      <c r="AC525" s="101"/>
      <c r="AD525" s="101"/>
      <c r="AE525" s="101"/>
      <c r="AF525" s="101"/>
      <c r="AG525" s="101"/>
      <c r="AH525" s="101"/>
      <c r="AI525" s="101"/>
      <c r="AJ525" s="101"/>
      <c r="AK525" s="101"/>
      <c r="AL525" s="101"/>
      <c r="AM525" s="101"/>
      <c r="AN525" s="101"/>
      <c r="AO525" s="101"/>
    </row>
    <row r="526" spans="1:41">
      <c r="A526" s="115"/>
      <c r="B526" s="116"/>
      <c r="C526" s="117"/>
      <c r="D526" s="116"/>
      <c r="E526" s="101"/>
      <c r="F526" s="101"/>
      <c r="G526" s="101"/>
      <c r="H526" s="101"/>
      <c r="I526" s="101"/>
      <c r="J526" s="101"/>
      <c r="K526" s="101"/>
      <c r="L526" s="101"/>
      <c r="M526" s="101"/>
      <c r="N526" s="101"/>
      <c r="O526" s="101"/>
      <c r="P526" s="101"/>
      <c r="Q526" s="101"/>
      <c r="R526" s="101"/>
      <c r="S526" s="101"/>
      <c r="T526" s="101"/>
      <c r="U526" s="101"/>
      <c r="V526" s="101"/>
      <c r="W526" s="101"/>
      <c r="X526" s="101"/>
      <c r="Y526" s="101"/>
      <c r="Z526" s="101"/>
      <c r="AA526" s="101"/>
      <c r="AB526" s="101"/>
      <c r="AC526" s="101"/>
      <c r="AD526" s="101"/>
      <c r="AE526" s="101"/>
      <c r="AF526" s="101"/>
      <c r="AG526" s="101"/>
      <c r="AH526" s="101"/>
      <c r="AI526" s="101"/>
      <c r="AJ526" s="101"/>
      <c r="AK526" s="101"/>
      <c r="AL526" s="101"/>
      <c r="AM526" s="101"/>
      <c r="AN526" s="101"/>
      <c r="AO526" s="101"/>
    </row>
    <row r="527" spans="1:41">
      <c r="A527" s="115"/>
      <c r="B527" s="116"/>
      <c r="C527" s="117"/>
      <c r="D527" s="116"/>
      <c r="E527" s="101"/>
      <c r="F527" s="101"/>
      <c r="G527" s="101"/>
      <c r="H527" s="101"/>
      <c r="I527" s="101"/>
      <c r="J527" s="101"/>
      <c r="K527" s="101"/>
      <c r="L527" s="101"/>
      <c r="M527" s="101"/>
      <c r="N527" s="101"/>
      <c r="O527" s="101"/>
      <c r="P527" s="101"/>
      <c r="Q527" s="101"/>
      <c r="R527" s="101"/>
      <c r="S527" s="101"/>
      <c r="T527" s="101"/>
      <c r="U527" s="101"/>
      <c r="V527" s="101"/>
      <c r="W527" s="101"/>
      <c r="X527" s="101"/>
      <c r="Y527" s="101"/>
      <c r="Z527" s="101"/>
      <c r="AA527" s="101"/>
      <c r="AB527" s="101"/>
      <c r="AC527" s="101"/>
      <c r="AD527" s="101"/>
      <c r="AE527" s="101"/>
      <c r="AF527" s="101"/>
      <c r="AG527" s="101"/>
      <c r="AH527" s="101"/>
      <c r="AI527" s="101"/>
      <c r="AJ527" s="101"/>
      <c r="AK527" s="101"/>
      <c r="AL527" s="101"/>
      <c r="AM527" s="101"/>
      <c r="AN527" s="101"/>
      <c r="AO527" s="101"/>
    </row>
    <row r="528" spans="1:41">
      <c r="A528" s="115"/>
      <c r="B528" s="116"/>
      <c r="C528" s="117"/>
      <c r="D528" s="116"/>
      <c r="E528" s="101"/>
      <c r="F528" s="101"/>
      <c r="G528" s="101"/>
      <c r="H528" s="101"/>
      <c r="I528" s="101"/>
      <c r="J528" s="101"/>
      <c r="K528" s="101"/>
      <c r="L528" s="101"/>
      <c r="M528" s="101"/>
      <c r="N528" s="101"/>
      <c r="O528" s="101"/>
      <c r="P528" s="101"/>
      <c r="Q528" s="101"/>
      <c r="R528" s="101"/>
      <c r="S528" s="101"/>
      <c r="T528" s="101"/>
      <c r="U528" s="101"/>
      <c r="V528" s="101"/>
      <c r="W528" s="101"/>
      <c r="X528" s="101"/>
      <c r="Y528" s="101"/>
      <c r="Z528" s="101"/>
      <c r="AA528" s="101"/>
      <c r="AB528" s="101"/>
      <c r="AC528" s="101"/>
      <c r="AD528" s="101"/>
      <c r="AE528" s="101"/>
      <c r="AF528" s="101"/>
      <c r="AG528" s="101"/>
      <c r="AH528" s="101"/>
      <c r="AI528" s="101"/>
      <c r="AJ528" s="101"/>
      <c r="AK528" s="101"/>
      <c r="AL528" s="101"/>
      <c r="AM528" s="101"/>
      <c r="AN528" s="101"/>
      <c r="AO528" s="101"/>
    </row>
    <row r="529" spans="1:41">
      <c r="A529" s="115"/>
      <c r="B529" s="116"/>
      <c r="C529" s="117"/>
      <c r="D529" s="116"/>
      <c r="E529" s="101"/>
      <c r="F529" s="101"/>
      <c r="G529" s="101"/>
      <c r="H529" s="101"/>
      <c r="I529" s="101"/>
      <c r="J529" s="101"/>
      <c r="K529" s="101"/>
      <c r="L529" s="101"/>
      <c r="M529" s="101"/>
      <c r="N529" s="101"/>
      <c r="O529" s="101"/>
      <c r="P529" s="101"/>
      <c r="Q529" s="101"/>
      <c r="R529" s="101"/>
      <c r="S529" s="101"/>
      <c r="T529" s="101"/>
      <c r="U529" s="101"/>
      <c r="V529" s="101"/>
      <c r="W529" s="101"/>
      <c r="X529" s="101"/>
      <c r="Y529" s="101"/>
      <c r="Z529" s="101"/>
      <c r="AA529" s="101"/>
      <c r="AB529" s="101"/>
      <c r="AC529" s="101"/>
      <c r="AD529" s="101"/>
      <c r="AE529" s="101"/>
      <c r="AF529" s="101"/>
      <c r="AG529" s="101"/>
      <c r="AH529" s="101"/>
      <c r="AI529" s="101"/>
      <c r="AJ529" s="101"/>
      <c r="AK529" s="101"/>
      <c r="AL529" s="101"/>
      <c r="AM529" s="101"/>
      <c r="AN529" s="101"/>
      <c r="AO529" s="101"/>
    </row>
    <row r="530" spans="1:41">
      <c r="A530" s="115"/>
      <c r="B530" s="116"/>
      <c r="C530" s="117"/>
      <c r="D530" s="116"/>
      <c r="E530" s="101"/>
      <c r="F530" s="101"/>
      <c r="G530" s="101"/>
      <c r="H530" s="101"/>
      <c r="I530" s="101"/>
      <c r="J530" s="101"/>
      <c r="K530" s="101"/>
      <c r="L530" s="101"/>
      <c r="M530" s="101"/>
      <c r="N530" s="101"/>
      <c r="O530" s="101"/>
      <c r="P530" s="101"/>
      <c r="Q530" s="101"/>
      <c r="R530" s="101"/>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row>
    <row r="531" spans="1:41">
      <c r="A531" s="115"/>
      <c r="B531" s="116"/>
      <c r="C531" s="117"/>
      <c r="D531" s="116"/>
      <c r="E531" s="101"/>
      <c r="F531" s="101"/>
      <c r="G531" s="101"/>
      <c r="H531" s="101"/>
      <c r="I531" s="101"/>
      <c r="J531" s="101"/>
      <c r="K531" s="101"/>
      <c r="L531" s="101"/>
      <c r="M531" s="101"/>
      <c r="N531" s="101"/>
      <c r="O531" s="101"/>
      <c r="P531" s="101"/>
      <c r="Q531" s="101"/>
      <c r="R531" s="101"/>
      <c r="S531" s="101"/>
      <c r="T531" s="101"/>
      <c r="U531" s="101"/>
      <c r="V531" s="101"/>
      <c r="W531" s="101"/>
      <c r="X531" s="101"/>
      <c r="Y531" s="101"/>
      <c r="Z531" s="101"/>
      <c r="AA531" s="101"/>
      <c r="AB531" s="101"/>
      <c r="AC531" s="101"/>
      <c r="AD531" s="101"/>
      <c r="AE531" s="101"/>
      <c r="AF531" s="101"/>
      <c r="AG531" s="101"/>
      <c r="AH531" s="101"/>
      <c r="AI531" s="101"/>
      <c r="AJ531" s="101"/>
      <c r="AK531" s="101"/>
      <c r="AL531" s="101"/>
      <c r="AM531" s="101"/>
      <c r="AN531" s="101"/>
      <c r="AO531" s="101"/>
    </row>
    <row r="532" spans="1:41">
      <c r="A532" s="115"/>
      <c r="B532" s="116"/>
      <c r="C532" s="117"/>
      <c r="D532" s="116"/>
      <c r="E532" s="101"/>
      <c r="F532" s="101"/>
      <c r="G532" s="101"/>
      <c r="H532" s="101"/>
      <c r="I532" s="101"/>
      <c r="J532" s="101"/>
      <c r="K532" s="101"/>
      <c r="L532" s="101"/>
      <c r="M532" s="101"/>
      <c r="N532" s="101"/>
      <c r="O532" s="101"/>
      <c r="P532" s="101"/>
      <c r="Q532" s="101"/>
      <c r="R532" s="101"/>
      <c r="S532" s="101"/>
      <c r="T532" s="101"/>
      <c r="U532" s="101"/>
      <c r="V532" s="101"/>
      <c r="W532" s="101"/>
      <c r="X532" s="101"/>
      <c r="Y532" s="101"/>
      <c r="Z532" s="101"/>
      <c r="AA532" s="101"/>
      <c r="AB532" s="101"/>
      <c r="AC532" s="101"/>
      <c r="AD532" s="101"/>
      <c r="AE532" s="101"/>
      <c r="AF532" s="101"/>
      <c r="AG532" s="101"/>
      <c r="AH532" s="101"/>
      <c r="AI532" s="101"/>
      <c r="AJ532" s="101"/>
      <c r="AK532" s="101"/>
      <c r="AL532" s="101"/>
      <c r="AM532" s="101"/>
      <c r="AN532" s="101"/>
      <c r="AO532" s="101"/>
    </row>
    <row r="533" spans="1:41">
      <c r="A533" s="115"/>
      <c r="B533" s="116"/>
      <c r="C533" s="117"/>
      <c r="D533" s="116"/>
      <c r="E533" s="101"/>
      <c r="F533" s="101"/>
      <c r="G533" s="101"/>
      <c r="H533" s="101"/>
      <c r="I533" s="101"/>
      <c r="J533" s="101"/>
      <c r="K533" s="101"/>
      <c r="L533" s="101"/>
      <c r="M533" s="101"/>
      <c r="N533" s="101"/>
      <c r="O533" s="101"/>
      <c r="P533" s="101"/>
      <c r="Q533" s="101"/>
      <c r="R533" s="101"/>
      <c r="S533" s="101"/>
      <c r="T533" s="101"/>
      <c r="U533" s="101"/>
      <c r="V533" s="101"/>
      <c r="W533" s="101"/>
      <c r="X533" s="101"/>
      <c r="Y533" s="101"/>
      <c r="Z533" s="101"/>
      <c r="AA533" s="101"/>
      <c r="AB533" s="101"/>
      <c r="AC533" s="101"/>
      <c r="AD533" s="101"/>
      <c r="AE533" s="101"/>
      <c r="AF533" s="101"/>
      <c r="AG533" s="101"/>
      <c r="AH533" s="101"/>
      <c r="AI533" s="101"/>
      <c r="AJ533" s="101"/>
      <c r="AK533" s="101"/>
      <c r="AL533" s="101"/>
      <c r="AM533" s="101"/>
      <c r="AN533" s="101"/>
      <c r="AO533" s="101"/>
    </row>
    <row r="534" spans="1:41">
      <c r="A534" s="115"/>
      <c r="B534" s="116"/>
      <c r="C534" s="117"/>
      <c r="D534" s="116"/>
      <c r="E534" s="101"/>
      <c r="F534" s="101"/>
      <c r="G534" s="101"/>
      <c r="H534" s="101"/>
      <c r="I534" s="101"/>
      <c r="J534" s="101"/>
      <c r="K534" s="101"/>
      <c r="L534" s="101"/>
      <c r="M534" s="101"/>
      <c r="N534" s="101"/>
      <c r="O534" s="101"/>
      <c r="P534" s="101"/>
      <c r="Q534" s="101"/>
      <c r="R534" s="101"/>
      <c r="S534" s="101"/>
      <c r="T534" s="101"/>
      <c r="U534" s="101"/>
      <c r="V534" s="101"/>
      <c r="W534" s="101"/>
      <c r="X534" s="101"/>
      <c r="Y534" s="101"/>
      <c r="Z534" s="101"/>
      <c r="AA534" s="101"/>
      <c r="AB534" s="101"/>
      <c r="AC534" s="101"/>
      <c r="AD534" s="101"/>
      <c r="AE534" s="101"/>
      <c r="AF534" s="101"/>
      <c r="AG534" s="101"/>
      <c r="AH534" s="101"/>
      <c r="AI534" s="101"/>
      <c r="AJ534" s="101"/>
      <c r="AK534" s="101"/>
      <c r="AL534" s="101"/>
      <c r="AM534" s="101"/>
      <c r="AN534" s="101"/>
      <c r="AO534" s="101"/>
    </row>
    <row r="535" spans="1:41">
      <c r="A535" s="115"/>
      <c r="B535" s="116"/>
      <c r="C535" s="117"/>
      <c r="D535" s="116"/>
      <c r="E535" s="101"/>
      <c r="F535" s="101"/>
      <c r="G535" s="101"/>
      <c r="H535" s="101"/>
      <c r="I535" s="101"/>
      <c r="J535" s="101"/>
      <c r="K535" s="101"/>
      <c r="L535" s="101"/>
      <c r="M535" s="101"/>
      <c r="N535" s="101"/>
      <c r="O535" s="101"/>
      <c r="P535" s="101"/>
      <c r="Q535" s="101"/>
      <c r="R535" s="101"/>
      <c r="S535" s="101"/>
      <c r="T535" s="101"/>
      <c r="U535" s="101"/>
      <c r="V535" s="101"/>
      <c r="W535" s="101"/>
      <c r="X535" s="101"/>
      <c r="Y535" s="101"/>
      <c r="Z535" s="101"/>
      <c r="AA535" s="101"/>
      <c r="AB535" s="101"/>
      <c r="AC535" s="101"/>
      <c r="AD535" s="101"/>
      <c r="AE535" s="101"/>
      <c r="AF535" s="101"/>
      <c r="AG535" s="101"/>
      <c r="AH535" s="101"/>
      <c r="AI535" s="101"/>
      <c r="AJ535" s="101"/>
      <c r="AK535" s="101"/>
      <c r="AL535" s="101"/>
      <c r="AM535" s="101"/>
      <c r="AN535" s="101"/>
      <c r="AO535" s="101"/>
    </row>
    <row r="536" spans="1:41">
      <c r="A536" s="115"/>
      <c r="B536" s="116"/>
      <c r="C536" s="117"/>
      <c r="D536" s="116"/>
      <c r="E536" s="101"/>
      <c r="F536" s="101"/>
      <c r="G536" s="101"/>
      <c r="H536" s="101"/>
      <c r="I536" s="101"/>
      <c r="J536" s="101"/>
      <c r="K536" s="101"/>
      <c r="L536" s="101"/>
      <c r="M536" s="101"/>
      <c r="N536" s="101"/>
      <c r="O536" s="101"/>
      <c r="P536" s="101"/>
      <c r="Q536" s="101"/>
      <c r="R536" s="101"/>
      <c r="S536" s="101"/>
      <c r="T536" s="101"/>
      <c r="U536" s="101"/>
      <c r="V536" s="101"/>
      <c r="W536" s="101"/>
      <c r="X536" s="101"/>
      <c r="Y536" s="101"/>
      <c r="Z536" s="101"/>
      <c r="AA536" s="101"/>
      <c r="AB536" s="101"/>
      <c r="AC536" s="101"/>
      <c r="AD536" s="101"/>
      <c r="AE536" s="101"/>
      <c r="AF536" s="101"/>
      <c r="AG536" s="101"/>
      <c r="AH536" s="101"/>
      <c r="AI536" s="101"/>
      <c r="AJ536" s="101"/>
      <c r="AK536" s="101"/>
      <c r="AL536" s="101"/>
      <c r="AM536" s="101"/>
      <c r="AN536" s="101"/>
      <c r="AO536" s="101"/>
    </row>
    <row r="537" spans="1:41">
      <c r="A537" s="115"/>
      <c r="B537" s="116"/>
      <c r="C537" s="117"/>
      <c r="D537" s="116"/>
      <c r="E537" s="101"/>
      <c r="F537" s="101"/>
      <c r="G537" s="101"/>
      <c r="H537" s="101"/>
      <c r="I537" s="101"/>
      <c r="J537" s="101"/>
      <c r="K537" s="101"/>
      <c r="L537" s="101"/>
      <c r="M537" s="101"/>
      <c r="N537" s="101"/>
      <c r="O537" s="101"/>
      <c r="P537" s="101"/>
      <c r="Q537" s="101"/>
      <c r="R537" s="101"/>
      <c r="S537" s="101"/>
      <c r="T537" s="101"/>
      <c r="U537" s="101"/>
      <c r="V537" s="101"/>
      <c r="W537" s="101"/>
      <c r="X537" s="101"/>
      <c r="Y537" s="101"/>
      <c r="Z537" s="101"/>
      <c r="AA537" s="101"/>
      <c r="AB537" s="101"/>
      <c r="AC537" s="101"/>
      <c r="AD537" s="101"/>
      <c r="AE537" s="101"/>
      <c r="AF537" s="101"/>
      <c r="AG537" s="101"/>
      <c r="AH537" s="101"/>
      <c r="AI537" s="101"/>
      <c r="AJ537" s="101"/>
      <c r="AK537" s="101"/>
      <c r="AL537" s="101"/>
      <c r="AM537" s="101"/>
      <c r="AN537" s="101"/>
      <c r="AO537" s="101"/>
    </row>
    <row r="538" spans="1:41">
      <c r="A538" s="115"/>
      <c r="B538" s="116"/>
      <c r="C538" s="117"/>
      <c r="D538" s="116"/>
      <c r="E538" s="101"/>
      <c r="F538" s="101"/>
      <c r="G538" s="101"/>
      <c r="H538" s="101"/>
      <c r="I538" s="101"/>
      <c r="J538" s="101"/>
      <c r="K538" s="101"/>
      <c r="L538" s="101"/>
      <c r="M538" s="101"/>
      <c r="N538" s="101"/>
      <c r="O538" s="101"/>
      <c r="P538" s="101"/>
      <c r="Q538" s="101"/>
      <c r="R538" s="101"/>
      <c r="S538" s="101"/>
      <c r="T538" s="101"/>
      <c r="U538" s="101"/>
      <c r="V538" s="101"/>
      <c r="W538" s="101"/>
      <c r="X538" s="101"/>
      <c r="Y538" s="101"/>
      <c r="Z538" s="101"/>
      <c r="AA538" s="101"/>
      <c r="AB538" s="101"/>
      <c r="AC538" s="101"/>
      <c r="AD538" s="101"/>
      <c r="AE538" s="101"/>
      <c r="AF538" s="101"/>
      <c r="AG538" s="101"/>
      <c r="AH538" s="101"/>
      <c r="AI538" s="101"/>
      <c r="AJ538" s="101"/>
      <c r="AK538" s="101"/>
      <c r="AL538" s="101"/>
      <c r="AM538" s="101"/>
      <c r="AN538" s="101"/>
      <c r="AO538" s="101"/>
    </row>
    <row r="539" spans="1:41">
      <c r="A539" s="115"/>
      <c r="B539" s="116"/>
      <c r="C539" s="117"/>
      <c r="D539" s="116"/>
      <c r="E539" s="101"/>
      <c r="F539" s="101"/>
      <c r="G539" s="101"/>
      <c r="H539" s="101"/>
      <c r="I539" s="101"/>
      <c r="J539" s="101"/>
      <c r="K539" s="101"/>
      <c r="L539" s="101"/>
      <c r="M539" s="101"/>
      <c r="N539" s="101"/>
      <c r="O539" s="101"/>
      <c r="P539" s="101"/>
      <c r="Q539" s="101"/>
      <c r="R539" s="101"/>
      <c r="S539" s="101"/>
      <c r="T539" s="101"/>
      <c r="U539" s="101"/>
      <c r="V539" s="101"/>
      <c r="W539" s="101"/>
      <c r="X539" s="101"/>
      <c r="Y539" s="101"/>
      <c r="Z539" s="101"/>
      <c r="AA539" s="101"/>
      <c r="AB539" s="101"/>
      <c r="AC539" s="101"/>
      <c r="AD539" s="101"/>
      <c r="AE539" s="101"/>
      <c r="AF539" s="101"/>
      <c r="AG539" s="101"/>
      <c r="AH539" s="101"/>
      <c r="AI539" s="101"/>
      <c r="AJ539" s="101"/>
      <c r="AK539" s="101"/>
      <c r="AL539" s="101"/>
      <c r="AM539" s="101"/>
      <c r="AN539" s="101"/>
      <c r="AO539" s="101"/>
    </row>
    <row r="540" spans="1:41">
      <c r="A540" s="115"/>
      <c r="B540" s="116"/>
      <c r="C540" s="117"/>
      <c r="D540" s="116"/>
      <c r="E540" s="101"/>
      <c r="F540" s="101"/>
      <c r="G540" s="101"/>
      <c r="H540" s="101"/>
      <c r="I540" s="101"/>
      <c r="J540" s="101"/>
      <c r="K540" s="101"/>
      <c r="L540" s="101"/>
      <c r="M540" s="101"/>
      <c r="N540" s="101"/>
      <c r="O540" s="101"/>
      <c r="P540" s="101"/>
      <c r="Q540" s="101"/>
      <c r="R540" s="101"/>
      <c r="S540" s="101"/>
      <c r="T540" s="101"/>
      <c r="U540" s="101"/>
      <c r="V540" s="101"/>
      <c r="W540" s="101"/>
      <c r="X540" s="101"/>
      <c r="Y540" s="101"/>
      <c r="Z540" s="101"/>
      <c r="AA540" s="101"/>
      <c r="AB540" s="101"/>
      <c r="AC540" s="101"/>
      <c r="AD540" s="101"/>
      <c r="AE540" s="101"/>
      <c r="AF540" s="101"/>
      <c r="AG540" s="101"/>
      <c r="AH540" s="101"/>
      <c r="AI540" s="101"/>
      <c r="AJ540" s="101"/>
      <c r="AK540" s="101"/>
      <c r="AL540" s="101"/>
      <c r="AM540" s="101"/>
      <c r="AN540" s="101"/>
      <c r="AO540" s="101"/>
    </row>
    <row r="541" spans="1:41">
      <c r="A541" s="115"/>
      <c r="B541" s="116"/>
      <c r="C541" s="117"/>
      <c r="D541" s="116"/>
      <c r="E541" s="101"/>
      <c r="F541" s="101"/>
      <c r="G541" s="101"/>
      <c r="H541" s="101"/>
      <c r="I541" s="101"/>
      <c r="J541" s="101"/>
      <c r="K541" s="101"/>
      <c r="L541" s="101"/>
      <c r="M541" s="101"/>
      <c r="N541" s="101"/>
      <c r="O541" s="101"/>
      <c r="P541" s="101"/>
      <c r="Q541" s="101"/>
      <c r="R541" s="101"/>
      <c r="S541" s="101"/>
      <c r="T541" s="101"/>
      <c r="U541" s="101"/>
      <c r="V541" s="101"/>
      <c r="W541" s="101"/>
      <c r="X541" s="101"/>
      <c r="Y541" s="101"/>
      <c r="Z541" s="101"/>
      <c r="AA541" s="101"/>
      <c r="AB541" s="101"/>
      <c r="AC541" s="101"/>
      <c r="AD541" s="101"/>
      <c r="AE541" s="101"/>
      <c r="AF541" s="101"/>
      <c r="AG541" s="101"/>
      <c r="AH541" s="101"/>
      <c r="AI541" s="101"/>
      <c r="AJ541" s="101"/>
      <c r="AK541" s="101"/>
      <c r="AL541" s="101"/>
      <c r="AM541" s="101"/>
      <c r="AN541" s="101"/>
      <c r="AO541" s="101"/>
    </row>
    <row r="542" spans="1:41">
      <c r="A542" s="115"/>
      <c r="B542" s="116"/>
      <c r="C542" s="117"/>
      <c r="D542" s="116"/>
      <c r="E542" s="101"/>
      <c r="F542" s="101"/>
      <c r="G542" s="101"/>
      <c r="H542" s="101"/>
      <c r="I542" s="101"/>
      <c r="J542" s="101"/>
      <c r="K542" s="101"/>
      <c r="L542" s="101"/>
      <c r="M542" s="101"/>
      <c r="N542" s="101"/>
      <c r="O542" s="101"/>
      <c r="P542" s="101"/>
      <c r="Q542" s="101"/>
      <c r="R542" s="101"/>
      <c r="S542" s="101"/>
      <c r="T542" s="101"/>
      <c r="U542" s="101"/>
      <c r="V542" s="101"/>
      <c r="W542" s="101"/>
      <c r="X542" s="101"/>
      <c r="Y542" s="101"/>
      <c r="Z542" s="101"/>
      <c r="AA542" s="101"/>
      <c r="AB542" s="101"/>
      <c r="AC542" s="101"/>
      <c r="AD542" s="101"/>
      <c r="AE542" s="101"/>
      <c r="AF542" s="101"/>
      <c r="AG542" s="101"/>
      <c r="AH542" s="101"/>
      <c r="AI542" s="101"/>
      <c r="AJ542" s="101"/>
      <c r="AK542" s="101"/>
      <c r="AL542" s="101"/>
      <c r="AM542" s="101"/>
      <c r="AN542" s="101"/>
      <c r="AO542" s="101"/>
    </row>
    <row r="543" spans="1:41">
      <c r="A543" s="115"/>
      <c r="B543" s="116"/>
      <c r="C543" s="117"/>
      <c r="D543" s="116"/>
      <c r="E543" s="101"/>
      <c r="F543" s="101"/>
      <c r="G543" s="101"/>
      <c r="H543" s="101"/>
      <c r="I543" s="101"/>
      <c r="J543" s="101"/>
      <c r="K543" s="101"/>
      <c r="L543" s="101"/>
      <c r="M543" s="101"/>
      <c r="N543" s="101"/>
      <c r="O543" s="101"/>
      <c r="P543" s="101"/>
      <c r="Q543" s="101"/>
      <c r="R543" s="101"/>
      <c r="S543" s="101"/>
      <c r="T543" s="101"/>
      <c r="U543" s="101"/>
      <c r="V543" s="101"/>
      <c r="W543" s="101"/>
      <c r="X543" s="101"/>
      <c r="Y543" s="101"/>
      <c r="Z543" s="101"/>
      <c r="AA543" s="101"/>
      <c r="AB543" s="101"/>
      <c r="AC543" s="101"/>
      <c r="AD543" s="101"/>
      <c r="AE543" s="101"/>
      <c r="AF543" s="101"/>
      <c r="AG543" s="101"/>
      <c r="AH543" s="101"/>
      <c r="AI543" s="101"/>
      <c r="AJ543" s="101"/>
      <c r="AK543" s="101"/>
      <c r="AL543" s="101"/>
      <c r="AM543" s="101"/>
      <c r="AN543" s="101"/>
      <c r="AO543" s="101"/>
    </row>
    <row r="544" spans="1:41">
      <c r="A544" s="115"/>
      <c r="B544" s="116"/>
      <c r="C544" s="117"/>
      <c r="D544" s="116"/>
      <c r="E544" s="101"/>
      <c r="F544" s="101"/>
      <c r="G544" s="101"/>
      <c r="H544" s="101"/>
      <c r="I544" s="101"/>
      <c r="J544" s="101"/>
      <c r="K544" s="101"/>
      <c r="L544" s="101"/>
      <c r="M544" s="101"/>
      <c r="N544" s="101"/>
      <c r="O544" s="101"/>
      <c r="P544" s="101"/>
      <c r="Q544" s="101"/>
      <c r="R544" s="101"/>
      <c r="S544" s="101"/>
      <c r="T544" s="101"/>
      <c r="U544" s="101"/>
      <c r="V544" s="101"/>
      <c r="W544" s="101"/>
      <c r="X544" s="101"/>
      <c r="Y544" s="101"/>
      <c r="Z544" s="101"/>
      <c r="AA544" s="101"/>
      <c r="AB544" s="101"/>
      <c r="AC544" s="101"/>
      <c r="AD544" s="101"/>
      <c r="AE544" s="101"/>
      <c r="AF544" s="101"/>
      <c r="AG544" s="101"/>
      <c r="AH544" s="101"/>
      <c r="AI544" s="101"/>
      <c r="AJ544" s="101"/>
      <c r="AK544" s="101"/>
      <c r="AL544" s="101"/>
      <c r="AM544" s="101"/>
      <c r="AN544" s="101"/>
      <c r="AO544" s="101"/>
    </row>
    <row r="545" spans="1:41">
      <c r="A545" s="115"/>
      <c r="B545" s="116"/>
      <c r="C545" s="117"/>
      <c r="D545" s="116"/>
      <c r="E545" s="101"/>
      <c r="F545" s="101"/>
      <c r="G545" s="101"/>
      <c r="H545" s="101"/>
      <c r="I545" s="101"/>
      <c r="J545" s="101"/>
      <c r="K545" s="101"/>
      <c r="L545" s="101"/>
      <c r="M545" s="101"/>
      <c r="N545" s="101"/>
      <c r="O545" s="101"/>
      <c r="P545" s="101"/>
      <c r="Q545" s="101"/>
      <c r="R545" s="101"/>
      <c r="S545" s="101"/>
      <c r="T545" s="101"/>
      <c r="U545" s="101"/>
      <c r="V545" s="101"/>
      <c r="W545" s="101"/>
      <c r="X545" s="101"/>
      <c r="Y545" s="101"/>
      <c r="Z545" s="101"/>
      <c r="AA545" s="101"/>
      <c r="AB545" s="101"/>
      <c r="AC545" s="101"/>
      <c r="AD545" s="101"/>
      <c r="AE545" s="101"/>
      <c r="AF545" s="101"/>
      <c r="AG545" s="101"/>
      <c r="AH545" s="101"/>
      <c r="AI545" s="101"/>
      <c r="AJ545" s="101"/>
      <c r="AK545" s="101"/>
      <c r="AL545" s="101"/>
      <c r="AM545" s="101"/>
      <c r="AN545" s="101"/>
      <c r="AO545" s="101"/>
    </row>
    <row r="546" spans="1:41">
      <c r="A546" s="115"/>
      <c r="B546" s="116"/>
      <c r="C546" s="117"/>
      <c r="D546" s="116"/>
      <c r="E546" s="101"/>
      <c r="F546" s="101"/>
      <c r="G546" s="101"/>
      <c r="H546" s="101"/>
      <c r="I546" s="101"/>
      <c r="J546" s="101"/>
      <c r="K546" s="101"/>
      <c r="L546" s="101"/>
      <c r="M546" s="101"/>
      <c r="N546" s="101"/>
      <c r="O546" s="101"/>
      <c r="P546" s="101"/>
      <c r="Q546" s="101"/>
      <c r="R546" s="101"/>
      <c r="S546" s="101"/>
      <c r="T546" s="101"/>
      <c r="U546" s="101"/>
      <c r="V546" s="101"/>
      <c r="W546" s="101"/>
      <c r="X546" s="101"/>
      <c r="Y546" s="101"/>
      <c r="Z546" s="101"/>
      <c r="AA546" s="101"/>
      <c r="AB546" s="101"/>
      <c r="AC546" s="101"/>
      <c r="AD546" s="101"/>
      <c r="AE546" s="101"/>
      <c r="AF546" s="101"/>
      <c r="AG546" s="101"/>
      <c r="AH546" s="101"/>
      <c r="AI546" s="101"/>
      <c r="AJ546" s="101"/>
      <c r="AK546" s="101"/>
      <c r="AL546" s="101"/>
      <c r="AM546" s="101"/>
      <c r="AN546" s="101"/>
      <c r="AO546" s="101"/>
    </row>
    <row r="547" spans="1:41">
      <c r="A547" s="115"/>
      <c r="B547" s="116"/>
      <c r="C547" s="117"/>
      <c r="D547" s="116"/>
      <c r="E547" s="101"/>
      <c r="F547" s="101"/>
      <c r="G547" s="101"/>
      <c r="H547" s="101"/>
      <c r="I547" s="101"/>
      <c r="J547" s="101"/>
      <c r="K547" s="101"/>
      <c r="L547" s="101"/>
      <c r="M547" s="101"/>
      <c r="N547" s="101"/>
      <c r="O547" s="101"/>
      <c r="P547" s="101"/>
      <c r="Q547" s="101"/>
      <c r="R547" s="101"/>
      <c r="S547" s="101"/>
      <c r="T547" s="101"/>
      <c r="U547" s="101"/>
      <c r="V547" s="101"/>
      <c r="W547" s="101"/>
      <c r="X547" s="101"/>
      <c r="Y547" s="101"/>
      <c r="Z547" s="101"/>
      <c r="AA547" s="101"/>
      <c r="AB547" s="101"/>
      <c r="AC547" s="101"/>
      <c r="AD547" s="101"/>
      <c r="AE547" s="101"/>
      <c r="AF547" s="101"/>
      <c r="AG547" s="101"/>
      <c r="AH547" s="101"/>
      <c r="AI547" s="101"/>
      <c r="AJ547" s="101"/>
      <c r="AK547" s="101"/>
      <c r="AL547" s="101"/>
      <c r="AM547" s="101"/>
      <c r="AN547" s="101"/>
      <c r="AO547" s="101"/>
    </row>
    <row r="548" spans="1:41">
      <c r="A548" s="115"/>
      <c r="B548" s="116"/>
      <c r="C548" s="117"/>
      <c r="D548" s="116"/>
      <c r="E548" s="101"/>
      <c r="F548" s="101"/>
      <c r="G548" s="101"/>
      <c r="H548" s="101"/>
      <c r="I548" s="101"/>
      <c r="J548" s="101"/>
      <c r="K548" s="101"/>
      <c r="L548" s="101"/>
      <c r="M548" s="101"/>
      <c r="N548" s="101"/>
      <c r="O548" s="101"/>
      <c r="P548" s="101"/>
      <c r="Q548" s="101"/>
      <c r="R548" s="101"/>
      <c r="S548" s="101"/>
      <c r="T548" s="101"/>
      <c r="U548" s="101"/>
      <c r="V548" s="101"/>
      <c r="W548" s="101"/>
      <c r="X548" s="101"/>
      <c r="Y548" s="101"/>
      <c r="Z548" s="101"/>
      <c r="AA548" s="101"/>
      <c r="AB548" s="101"/>
      <c r="AC548" s="101"/>
      <c r="AD548" s="101"/>
      <c r="AE548" s="101"/>
      <c r="AF548" s="101"/>
      <c r="AG548" s="101"/>
      <c r="AH548" s="101"/>
      <c r="AI548" s="101"/>
      <c r="AJ548" s="101"/>
      <c r="AK548" s="101"/>
      <c r="AL548" s="101"/>
      <c r="AM548" s="101"/>
      <c r="AN548" s="101"/>
      <c r="AO548" s="101"/>
    </row>
    <row r="549" spans="1:41">
      <c r="A549" s="115"/>
      <c r="B549" s="116"/>
      <c r="C549" s="117"/>
      <c r="D549" s="116"/>
      <c r="E549" s="101"/>
      <c r="F549" s="101"/>
      <c r="G549" s="101"/>
      <c r="H549" s="101"/>
      <c r="I549" s="101"/>
      <c r="J549" s="101"/>
      <c r="K549" s="101"/>
      <c r="L549" s="101"/>
      <c r="M549" s="101"/>
      <c r="N549" s="101"/>
      <c r="O549" s="101"/>
      <c r="P549" s="101"/>
      <c r="Q549" s="101"/>
      <c r="R549" s="101"/>
      <c r="S549" s="101"/>
      <c r="T549" s="101"/>
      <c r="U549" s="101"/>
      <c r="V549" s="101"/>
      <c r="W549" s="101"/>
      <c r="X549" s="101"/>
      <c r="Y549" s="101"/>
      <c r="Z549" s="101"/>
      <c r="AA549" s="101"/>
      <c r="AB549" s="101"/>
      <c r="AC549" s="101"/>
      <c r="AD549" s="101"/>
      <c r="AE549" s="101"/>
      <c r="AF549" s="101"/>
      <c r="AG549" s="101"/>
      <c r="AH549" s="101"/>
      <c r="AI549" s="101"/>
      <c r="AJ549" s="101"/>
      <c r="AK549" s="101"/>
      <c r="AL549" s="101"/>
      <c r="AM549" s="101"/>
      <c r="AN549" s="101"/>
      <c r="AO549" s="101"/>
    </row>
    <row r="550" spans="1:41">
      <c r="A550" s="115"/>
      <c r="B550" s="116"/>
      <c r="C550" s="117"/>
      <c r="D550" s="116"/>
      <c r="E550" s="101"/>
      <c r="F550" s="101"/>
      <c r="G550" s="101"/>
      <c r="H550" s="101"/>
      <c r="I550" s="101"/>
      <c r="J550" s="101"/>
      <c r="K550" s="101"/>
      <c r="L550" s="101"/>
      <c r="M550" s="101"/>
      <c r="N550" s="101"/>
      <c r="O550" s="101"/>
      <c r="P550" s="101"/>
      <c r="Q550" s="101"/>
      <c r="R550" s="101"/>
      <c r="S550" s="101"/>
      <c r="T550" s="101"/>
      <c r="U550" s="101"/>
      <c r="V550" s="101"/>
      <c r="W550" s="101"/>
      <c r="X550" s="101"/>
      <c r="Y550" s="101"/>
      <c r="Z550" s="101"/>
      <c r="AA550" s="101"/>
      <c r="AB550" s="101"/>
      <c r="AC550" s="101"/>
      <c r="AD550" s="101"/>
      <c r="AE550" s="101"/>
      <c r="AF550" s="101"/>
      <c r="AG550" s="101"/>
      <c r="AH550" s="101"/>
      <c r="AI550" s="101"/>
      <c r="AJ550" s="101"/>
      <c r="AK550" s="101"/>
      <c r="AL550" s="101"/>
      <c r="AM550" s="101"/>
      <c r="AN550" s="101"/>
      <c r="AO550" s="101"/>
    </row>
    <row r="551" spans="1:41">
      <c r="A551" s="115"/>
      <c r="B551" s="116"/>
      <c r="C551" s="117"/>
      <c r="D551" s="116"/>
      <c r="E551" s="101"/>
      <c r="F551" s="101"/>
      <c r="G551" s="101"/>
      <c r="H551" s="101"/>
      <c r="I551" s="101"/>
      <c r="J551" s="101"/>
      <c r="K551" s="101"/>
      <c r="L551" s="101"/>
      <c r="M551" s="101"/>
      <c r="N551" s="101"/>
      <c r="O551" s="101"/>
      <c r="P551" s="101"/>
      <c r="Q551" s="101"/>
      <c r="R551" s="101"/>
      <c r="S551" s="101"/>
      <c r="T551" s="101"/>
      <c r="U551" s="101"/>
      <c r="V551" s="101"/>
      <c r="W551" s="101"/>
      <c r="X551" s="101"/>
      <c r="Y551" s="101"/>
      <c r="Z551" s="101"/>
      <c r="AA551" s="101"/>
      <c r="AB551" s="101"/>
      <c r="AC551" s="101"/>
      <c r="AD551" s="101"/>
      <c r="AE551" s="101"/>
      <c r="AF551" s="101"/>
      <c r="AG551" s="101"/>
      <c r="AH551" s="101"/>
      <c r="AI551" s="101"/>
      <c r="AJ551" s="101"/>
      <c r="AK551" s="101"/>
      <c r="AL551" s="101"/>
      <c r="AM551" s="101"/>
      <c r="AN551" s="101"/>
      <c r="AO551" s="101"/>
    </row>
    <row r="552" spans="1:41">
      <c r="A552" s="115"/>
      <c r="B552" s="116"/>
      <c r="C552" s="117"/>
      <c r="D552" s="116"/>
      <c r="E552" s="101"/>
      <c r="F552" s="101"/>
      <c r="G552" s="101"/>
      <c r="H552" s="101"/>
      <c r="I552" s="101"/>
      <c r="J552" s="101"/>
      <c r="K552" s="101"/>
      <c r="L552" s="101"/>
      <c r="M552" s="101"/>
      <c r="N552" s="101"/>
      <c r="O552" s="101"/>
      <c r="P552" s="101"/>
      <c r="Q552" s="101"/>
      <c r="R552" s="101"/>
      <c r="S552" s="101"/>
      <c r="T552" s="101"/>
      <c r="U552" s="101"/>
      <c r="V552" s="101"/>
      <c r="W552" s="101"/>
      <c r="X552" s="101"/>
      <c r="Y552" s="101"/>
      <c r="Z552" s="101"/>
      <c r="AA552" s="101"/>
      <c r="AB552" s="101"/>
      <c r="AC552" s="101"/>
      <c r="AD552" s="101"/>
      <c r="AE552" s="101"/>
      <c r="AF552" s="101"/>
      <c r="AG552" s="101"/>
      <c r="AH552" s="101"/>
      <c r="AI552" s="101"/>
      <c r="AJ552" s="101"/>
      <c r="AK552" s="101"/>
      <c r="AL552" s="101"/>
      <c r="AM552" s="101"/>
      <c r="AN552" s="101"/>
      <c r="AO552" s="101"/>
    </row>
    <row r="553" spans="1:41">
      <c r="A553" s="115"/>
      <c r="B553" s="116"/>
      <c r="C553" s="117"/>
      <c r="D553" s="116"/>
      <c r="E553" s="101"/>
      <c r="F553" s="101"/>
      <c r="G553" s="101"/>
      <c r="H553" s="101"/>
      <c r="I553" s="101"/>
      <c r="J553" s="101"/>
      <c r="K553" s="101"/>
      <c r="L553" s="101"/>
      <c r="M553" s="101"/>
      <c r="N553" s="101"/>
      <c r="O553" s="101"/>
      <c r="P553" s="101"/>
      <c r="Q553" s="101"/>
      <c r="R553" s="101"/>
      <c r="S553" s="101"/>
      <c r="T553" s="101"/>
      <c r="U553" s="101"/>
      <c r="V553" s="101"/>
      <c r="W553" s="101"/>
      <c r="X553" s="101"/>
      <c r="Y553" s="101"/>
      <c r="Z553" s="101"/>
      <c r="AA553" s="101"/>
      <c r="AB553" s="101"/>
      <c r="AC553" s="101"/>
      <c r="AD553" s="101"/>
      <c r="AE553" s="101"/>
      <c r="AF553" s="101"/>
      <c r="AG553" s="101"/>
      <c r="AH553" s="101"/>
      <c r="AI553" s="101"/>
      <c r="AJ553" s="101"/>
      <c r="AK553" s="101"/>
      <c r="AL553" s="101"/>
      <c r="AM553" s="101"/>
      <c r="AN553" s="101"/>
      <c r="AO553" s="101"/>
    </row>
    <row r="554" spans="1:41">
      <c r="A554" s="115"/>
      <c r="B554" s="116"/>
      <c r="C554" s="117"/>
      <c r="D554" s="116"/>
      <c r="E554" s="101"/>
      <c r="F554" s="101"/>
      <c r="G554" s="101"/>
      <c r="H554" s="101"/>
      <c r="I554" s="101"/>
      <c r="J554" s="101"/>
      <c r="K554" s="101"/>
      <c r="L554" s="101"/>
      <c r="M554" s="101"/>
      <c r="N554" s="101"/>
      <c r="O554" s="101"/>
      <c r="P554" s="101"/>
      <c r="Q554" s="101"/>
      <c r="R554" s="101"/>
      <c r="S554" s="101"/>
      <c r="T554" s="101"/>
      <c r="U554" s="101"/>
      <c r="V554" s="101"/>
      <c r="W554" s="101"/>
      <c r="X554" s="101"/>
      <c r="Y554" s="101"/>
      <c r="Z554" s="101"/>
      <c r="AA554" s="101"/>
      <c r="AB554" s="101"/>
      <c r="AC554" s="101"/>
      <c r="AD554" s="101"/>
      <c r="AE554" s="101"/>
      <c r="AF554" s="101"/>
      <c r="AG554" s="101"/>
      <c r="AH554" s="101"/>
      <c r="AI554" s="101"/>
      <c r="AJ554" s="101"/>
      <c r="AK554" s="101"/>
      <c r="AL554" s="101"/>
      <c r="AM554" s="101"/>
      <c r="AN554" s="101"/>
      <c r="AO554" s="101"/>
    </row>
    <row r="555" spans="1:41">
      <c r="A555" s="115"/>
      <c r="B555" s="116"/>
      <c r="C555" s="117"/>
      <c r="D555" s="116"/>
      <c r="E555" s="101"/>
      <c r="F555" s="101"/>
      <c r="G555" s="101"/>
      <c r="H555" s="101"/>
      <c r="I555" s="101"/>
      <c r="J555" s="101"/>
      <c r="K555" s="101"/>
      <c r="L555" s="101"/>
      <c r="M555" s="101"/>
      <c r="N555" s="101"/>
      <c r="O555" s="101"/>
      <c r="P555" s="101"/>
      <c r="Q555" s="101"/>
      <c r="R555" s="101"/>
      <c r="S555" s="101"/>
      <c r="T555" s="101"/>
      <c r="U555" s="101"/>
      <c r="V555" s="101"/>
      <c r="W555" s="101"/>
      <c r="X555" s="101"/>
      <c r="Y555" s="101"/>
      <c r="Z555" s="101"/>
      <c r="AA555" s="101"/>
      <c r="AB555" s="101"/>
      <c r="AC555" s="101"/>
      <c r="AD555" s="101"/>
      <c r="AE555" s="101"/>
      <c r="AF555" s="101"/>
      <c r="AG555" s="101"/>
      <c r="AH555" s="101"/>
      <c r="AI555" s="101"/>
      <c r="AJ555" s="101"/>
      <c r="AK555" s="101"/>
      <c r="AL555" s="101"/>
      <c r="AM555" s="101"/>
      <c r="AN555" s="101"/>
      <c r="AO555" s="101"/>
    </row>
    <row r="556" spans="1:41">
      <c r="A556" s="115"/>
      <c r="B556" s="116"/>
      <c r="C556" s="117"/>
      <c r="D556" s="116"/>
      <c r="E556" s="101"/>
      <c r="F556" s="101"/>
      <c r="G556" s="101"/>
      <c r="H556" s="101"/>
      <c r="I556" s="101"/>
      <c r="J556" s="101"/>
      <c r="K556" s="101"/>
      <c r="L556" s="101"/>
      <c r="M556" s="101"/>
      <c r="N556" s="101"/>
      <c r="O556" s="101"/>
      <c r="P556" s="101"/>
      <c r="Q556" s="101"/>
      <c r="R556" s="101"/>
      <c r="S556" s="101"/>
      <c r="T556" s="101"/>
      <c r="U556" s="101"/>
      <c r="V556" s="101"/>
      <c r="W556" s="101"/>
      <c r="X556" s="101"/>
      <c r="Y556" s="101"/>
      <c r="Z556" s="101"/>
      <c r="AA556" s="101"/>
      <c r="AB556" s="101"/>
      <c r="AC556" s="101"/>
      <c r="AD556" s="101"/>
      <c r="AE556" s="101"/>
      <c r="AF556" s="101"/>
      <c r="AG556" s="101"/>
      <c r="AH556" s="101"/>
      <c r="AI556" s="101"/>
      <c r="AJ556" s="101"/>
      <c r="AK556" s="101"/>
      <c r="AL556" s="101"/>
      <c r="AM556" s="101"/>
      <c r="AN556" s="101"/>
      <c r="AO556" s="101"/>
    </row>
    <row r="557" spans="1:41">
      <c r="A557" s="115"/>
      <c r="B557" s="116"/>
      <c r="C557" s="117"/>
      <c r="D557" s="116"/>
      <c r="E557" s="101"/>
      <c r="F557" s="101"/>
      <c r="G557" s="101"/>
      <c r="H557" s="101"/>
      <c r="I557" s="101"/>
      <c r="J557" s="101"/>
      <c r="K557" s="101"/>
      <c r="L557" s="101"/>
      <c r="M557" s="101"/>
      <c r="N557" s="101"/>
      <c r="O557" s="101"/>
      <c r="P557" s="101"/>
      <c r="Q557" s="101"/>
      <c r="R557" s="101"/>
      <c r="S557" s="101"/>
      <c r="T557" s="101"/>
      <c r="U557" s="101"/>
      <c r="V557" s="101"/>
      <c r="W557" s="101"/>
      <c r="X557" s="101"/>
      <c r="Y557" s="101"/>
      <c r="Z557" s="101"/>
      <c r="AA557" s="101"/>
      <c r="AB557" s="101"/>
      <c r="AC557" s="101"/>
      <c r="AD557" s="101"/>
      <c r="AE557" s="101"/>
      <c r="AF557" s="101"/>
      <c r="AG557" s="101"/>
      <c r="AH557" s="101"/>
      <c r="AI557" s="101"/>
      <c r="AJ557" s="101"/>
      <c r="AK557" s="101"/>
      <c r="AL557" s="101"/>
      <c r="AM557" s="101"/>
      <c r="AN557" s="101"/>
      <c r="AO557" s="101"/>
    </row>
    <row r="558" spans="1:41">
      <c r="A558" s="115"/>
      <c r="B558" s="116"/>
      <c r="C558" s="117"/>
      <c r="D558" s="116"/>
      <c r="E558" s="101"/>
      <c r="F558" s="101"/>
      <c r="G558" s="101"/>
      <c r="H558" s="101"/>
      <c r="I558" s="101"/>
      <c r="J558" s="101"/>
      <c r="K558" s="101"/>
      <c r="L558" s="101"/>
      <c r="M558" s="101"/>
      <c r="N558" s="101"/>
      <c r="O558" s="101"/>
      <c r="P558" s="101"/>
      <c r="Q558" s="101"/>
      <c r="R558" s="101"/>
      <c r="S558" s="101"/>
      <c r="T558" s="101"/>
      <c r="U558" s="101"/>
      <c r="V558" s="101"/>
      <c r="W558" s="101"/>
      <c r="X558" s="101"/>
      <c r="Y558" s="101"/>
      <c r="Z558" s="101"/>
      <c r="AA558" s="101"/>
      <c r="AB558" s="101"/>
      <c r="AC558" s="101"/>
      <c r="AD558" s="101"/>
      <c r="AE558" s="101"/>
      <c r="AF558" s="101"/>
      <c r="AG558" s="101"/>
      <c r="AH558" s="101"/>
      <c r="AI558" s="101"/>
      <c r="AJ558" s="101"/>
      <c r="AK558" s="101"/>
      <c r="AL558" s="101"/>
      <c r="AM558" s="101"/>
      <c r="AN558" s="101"/>
      <c r="AO558" s="101"/>
    </row>
    <row r="559" spans="1:41">
      <c r="A559" s="115"/>
      <c r="B559" s="116"/>
      <c r="C559" s="117"/>
      <c r="D559" s="116"/>
      <c r="E559" s="101"/>
      <c r="F559" s="101"/>
      <c r="G559" s="101"/>
      <c r="H559" s="101"/>
      <c r="I559" s="101"/>
      <c r="J559" s="101"/>
      <c r="K559" s="101"/>
      <c r="L559" s="101"/>
      <c r="M559" s="101"/>
      <c r="N559" s="101"/>
      <c r="O559" s="101"/>
      <c r="P559" s="101"/>
      <c r="Q559" s="101"/>
      <c r="R559" s="101"/>
      <c r="S559" s="101"/>
      <c r="T559" s="101"/>
      <c r="U559" s="101"/>
      <c r="V559" s="101"/>
      <c r="W559" s="101"/>
      <c r="X559" s="101"/>
      <c r="Y559" s="101"/>
      <c r="Z559" s="101"/>
      <c r="AA559" s="101"/>
      <c r="AB559" s="101"/>
      <c r="AC559" s="101"/>
      <c r="AD559" s="101"/>
      <c r="AE559" s="101"/>
      <c r="AF559" s="101"/>
      <c r="AG559" s="101"/>
      <c r="AH559" s="101"/>
      <c r="AI559" s="101"/>
      <c r="AJ559" s="101"/>
      <c r="AK559" s="101"/>
      <c r="AL559" s="101"/>
      <c r="AM559" s="101"/>
      <c r="AN559" s="101"/>
      <c r="AO559" s="101"/>
    </row>
    <row r="560" spans="1:41">
      <c r="A560" s="115"/>
      <c r="B560" s="116"/>
      <c r="C560" s="117"/>
      <c r="D560" s="116"/>
      <c r="E560" s="101"/>
      <c r="F560" s="101"/>
      <c r="G560" s="101"/>
      <c r="H560" s="101"/>
      <c r="I560" s="101"/>
      <c r="J560" s="101"/>
      <c r="K560" s="101"/>
      <c r="L560" s="101"/>
      <c r="M560" s="101"/>
      <c r="N560" s="101"/>
      <c r="O560" s="101"/>
      <c r="P560" s="101"/>
      <c r="Q560" s="101"/>
      <c r="R560" s="101"/>
      <c r="S560" s="101"/>
      <c r="T560" s="101"/>
      <c r="U560" s="101"/>
      <c r="V560" s="101"/>
      <c r="W560" s="101"/>
      <c r="X560" s="101"/>
      <c r="Y560" s="101"/>
      <c r="Z560" s="101"/>
      <c r="AA560" s="101"/>
      <c r="AB560" s="101"/>
      <c r="AC560" s="101"/>
      <c r="AD560" s="101"/>
      <c r="AE560" s="101"/>
      <c r="AF560" s="101"/>
      <c r="AG560" s="101"/>
      <c r="AH560" s="101"/>
      <c r="AI560" s="101"/>
      <c r="AJ560" s="101"/>
      <c r="AK560" s="101"/>
      <c r="AL560" s="101"/>
      <c r="AM560" s="101"/>
      <c r="AN560" s="101"/>
      <c r="AO560" s="101"/>
    </row>
    <row r="561" spans="1:41">
      <c r="A561" s="115"/>
      <c r="B561" s="116"/>
      <c r="C561" s="117"/>
      <c r="D561" s="116"/>
      <c r="E561" s="101"/>
      <c r="F561" s="101"/>
      <c r="G561" s="101"/>
      <c r="H561" s="101"/>
      <c r="I561" s="101"/>
      <c r="J561" s="101"/>
      <c r="K561" s="101"/>
      <c r="L561" s="101"/>
      <c r="M561" s="101"/>
      <c r="N561" s="101"/>
      <c r="O561" s="101"/>
      <c r="P561" s="101"/>
      <c r="Q561" s="101"/>
      <c r="R561" s="101"/>
      <c r="S561" s="101"/>
      <c r="T561" s="101"/>
      <c r="U561" s="101"/>
      <c r="V561" s="101"/>
      <c r="W561" s="101"/>
      <c r="X561" s="101"/>
      <c r="Y561" s="101"/>
      <c r="Z561" s="101"/>
      <c r="AA561" s="101"/>
      <c r="AB561" s="101"/>
      <c r="AC561" s="101"/>
      <c r="AD561" s="101"/>
      <c r="AE561" s="101"/>
      <c r="AF561" s="101"/>
      <c r="AG561" s="101"/>
      <c r="AH561" s="101"/>
      <c r="AI561" s="101"/>
      <c r="AJ561" s="101"/>
      <c r="AK561" s="101"/>
      <c r="AL561" s="101"/>
      <c r="AM561" s="101"/>
      <c r="AN561" s="101"/>
      <c r="AO561" s="101"/>
    </row>
    <row r="562" spans="1:41">
      <c r="A562" s="115"/>
      <c r="B562" s="116"/>
      <c r="C562" s="117"/>
      <c r="D562" s="116"/>
      <c r="E562" s="101"/>
      <c r="F562" s="101"/>
      <c r="G562" s="101"/>
      <c r="H562" s="101"/>
      <c r="I562" s="101"/>
      <c r="J562" s="101"/>
      <c r="K562" s="101"/>
      <c r="L562" s="101"/>
      <c r="M562" s="101"/>
      <c r="N562" s="101"/>
      <c r="O562" s="101"/>
      <c r="P562" s="101"/>
      <c r="Q562" s="101"/>
      <c r="R562" s="101"/>
      <c r="S562" s="101"/>
      <c r="T562" s="101"/>
      <c r="U562" s="101"/>
      <c r="V562" s="101"/>
      <c r="W562" s="101"/>
      <c r="X562" s="101"/>
      <c r="Y562" s="101"/>
      <c r="Z562" s="101"/>
      <c r="AA562" s="101"/>
      <c r="AB562" s="101"/>
      <c r="AC562" s="101"/>
      <c r="AD562" s="101"/>
      <c r="AE562" s="101"/>
      <c r="AF562" s="101"/>
      <c r="AG562" s="101"/>
      <c r="AH562" s="101"/>
      <c r="AI562" s="101"/>
      <c r="AJ562" s="101"/>
      <c r="AK562" s="101"/>
      <c r="AL562" s="101"/>
      <c r="AM562" s="101"/>
      <c r="AN562" s="101"/>
      <c r="AO562" s="101"/>
    </row>
    <row r="563" spans="1:41">
      <c r="A563" s="115"/>
      <c r="B563" s="116"/>
      <c r="C563" s="117"/>
      <c r="D563" s="116"/>
      <c r="E563" s="101"/>
      <c r="F563" s="101"/>
      <c r="G563" s="101"/>
      <c r="H563" s="101"/>
      <c r="I563" s="101"/>
      <c r="J563" s="101"/>
      <c r="K563" s="101"/>
      <c r="L563" s="101"/>
      <c r="M563" s="101"/>
      <c r="N563" s="101"/>
      <c r="O563" s="101"/>
      <c r="P563" s="101"/>
      <c r="Q563" s="101"/>
      <c r="R563" s="101"/>
      <c r="S563" s="101"/>
      <c r="T563" s="101"/>
      <c r="U563" s="101"/>
      <c r="V563" s="101"/>
      <c r="W563" s="101"/>
      <c r="X563" s="101"/>
      <c r="Y563" s="101"/>
      <c r="Z563" s="101"/>
      <c r="AA563" s="101"/>
      <c r="AB563" s="101"/>
      <c r="AC563" s="101"/>
      <c r="AD563" s="101"/>
      <c r="AE563" s="101"/>
      <c r="AF563" s="101"/>
      <c r="AG563" s="101"/>
      <c r="AH563" s="101"/>
      <c r="AI563" s="101"/>
      <c r="AJ563" s="101"/>
      <c r="AK563" s="101"/>
      <c r="AL563" s="101"/>
      <c r="AM563" s="101"/>
      <c r="AN563" s="101"/>
      <c r="AO563" s="101"/>
    </row>
    <row r="564" spans="1:41">
      <c r="A564" s="115"/>
      <c r="B564" s="116"/>
      <c r="C564" s="117"/>
      <c r="D564" s="116"/>
      <c r="E564" s="101"/>
      <c r="F564" s="101"/>
      <c r="G564" s="101"/>
      <c r="H564" s="101"/>
      <c r="I564" s="101"/>
      <c r="J564" s="101"/>
      <c r="K564" s="101"/>
      <c r="L564" s="101"/>
      <c r="M564" s="101"/>
      <c r="N564" s="101"/>
      <c r="O564" s="101"/>
      <c r="P564" s="101"/>
      <c r="Q564" s="101"/>
      <c r="R564" s="101"/>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row>
    <row r="565" spans="1:41">
      <c r="A565" s="115"/>
      <c r="B565" s="116"/>
      <c r="C565" s="117"/>
      <c r="D565" s="116"/>
      <c r="E565" s="101"/>
      <c r="F565" s="101"/>
      <c r="G565" s="101"/>
      <c r="H565" s="101"/>
      <c r="I565" s="101"/>
      <c r="J565" s="101"/>
      <c r="K565" s="101"/>
      <c r="L565" s="101"/>
      <c r="M565" s="101"/>
      <c r="N565" s="101"/>
      <c r="O565" s="101"/>
      <c r="P565" s="101"/>
      <c r="Q565" s="101"/>
      <c r="R565" s="101"/>
      <c r="S565" s="101"/>
      <c r="T565" s="101"/>
      <c r="U565" s="101"/>
      <c r="V565" s="101"/>
      <c r="W565" s="101"/>
      <c r="X565" s="101"/>
      <c r="Y565" s="101"/>
      <c r="Z565" s="101"/>
      <c r="AA565" s="101"/>
      <c r="AB565" s="101"/>
      <c r="AC565" s="101"/>
      <c r="AD565" s="101"/>
      <c r="AE565" s="101"/>
      <c r="AF565" s="101"/>
      <c r="AG565" s="101"/>
      <c r="AH565" s="101"/>
      <c r="AI565" s="101"/>
      <c r="AJ565" s="101"/>
      <c r="AK565" s="101"/>
      <c r="AL565" s="101"/>
      <c r="AM565" s="101"/>
      <c r="AN565" s="101"/>
      <c r="AO565" s="101"/>
    </row>
    <row r="566" spans="1:41">
      <c r="A566" s="115"/>
      <c r="B566" s="116"/>
      <c r="C566" s="117"/>
      <c r="D566" s="116"/>
      <c r="E566" s="101"/>
      <c r="F566" s="101"/>
      <c r="G566" s="101"/>
      <c r="H566" s="101"/>
      <c r="I566" s="101"/>
      <c r="J566" s="101"/>
      <c r="K566" s="101"/>
      <c r="L566" s="101"/>
      <c r="M566" s="101"/>
      <c r="N566" s="101"/>
      <c r="O566" s="101"/>
      <c r="P566" s="101"/>
      <c r="Q566" s="101"/>
      <c r="R566" s="101"/>
      <c r="S566" s="101"/>
      <c r="T566" s="101"/>
      <c r="U566" s="101"/>
      <c r="V566" s="101"/>
      <c r="W566" s="101"/>
      <c r="X566" s="101"/>
      <c r="Y566" s="101"/>
      <c r="Z566" s="101"/>
      <c r="AA566" s="101"/>
      <c r="AB566" s="101"/>
      <c r="AC566" s="101"/>
      <c r="AD566" s="101"/>
      <c r="AE566" s="101"/>
      <c r="AF566" s="101"/>
      <c r="AG566" s="101"/>
      <c r="AH566" s="101"/>
      <c r="AI566" s="101"/>
      <c r="AJ566" s="101"/>
      <c r="AK566" s="101"/>
      <c r="AL566" s="101"/>
      <c r="AM566" s="101"/>
      <c r="AN566" s="101"/>
      <c r="AO566" s="101"/>
    </row>
    <row r="567" spans="1:41">
      <c r="A567" s="115"/>
      <c r="B567" s="116"/>
      <c r="C567" s="117"/>
      <c r="D567" s="116"/>
      <c r="E567" s="101"/>
      <c r="F567" s="101"/>
      <c r="G567" s="101"/>
      <c r="H567" s="101"/>
      <c r="I567" s="101"/>
      <c r="J567" s="101"/>
      <c r="K567" s="101"/>
      <c r="L567" s="101"/>
      <c r="M567" s="101"/>
      <c r="N567" s="101"/>
      <c r="O567" s="101"/>
      <c r="P567" s="101"/>
      <c r="Q567" s="101"/>
      <c r="R567" s="101"/>
      <c r="S567" s="101"/>
      <c r="T567" s="101"/>
      <c r="U567" s="101"/>
      <c r="V567" s="101"/>
      <c r="W567" s="101"/>
      <c r="X567" s="101"/>
      <c r="Y567" s="101"/>
      <c r="Z567" s="101"/>
      <c r="AA567" s="101"/>
      <c r="AB567" s="101"/>
      <c r="AC567" s="101"/>
      <c r="AD567" s="101"/>
      <c r="AE567" s="101"/>
      <c r="AF567" s="101"/>
      <c r="AG567" s="101"/>
      <c r="AH567" s="101"/>
      <c r="AI567" s="101"/>
      <c r="AJ567" s="101"/>
      <c r="AK567" s="101"/>
      <c r="AL567" s="101"/>
      <c r="AM567" s="101"/>
      <c r="AN567" s="101"/>
      <c r="AO567" s="101"/>
    </row>
    <row r="568" spans="1:41">
      <c r="A568" s="115"/>
      <c r="B568" s="116"/>
      <c r="C568" s="117"/>
      <c r="D568" s="116"/>
      <c r="E568" s="101"/>
      <c r="F568" s="101"/>
      <c r="G568" s="101"/>
      <c r="H568" s="101"/>
      <c r="I568" s="101"/>
      <c r="J568" s="101"/>
      <c r="K568" s="101"/>
      <c r="L568" s="101"/>
      <c r="M568" s="101"/>
      <c r="N568" s="101"/>
      <c r="O568" s="101"/>
      <c r="P568" s="101"/>
      <c r="Q568" s="101"/>
      <c r="R568" s="101"/>
      <c r="S568" s="101"/>
      <c r="T568" s="101"/>
      <c r="U568" s="101"/>
      <c r="V568" s="101"/>
      <c r="W568" s="101"/>
      <c r="X568" s="101"/>
      <c r="Y568" s="101"/>
      <c r="Z568" s="101"/>
      <c r="AA568" s="101"/>
      <c r="AB568" s="101"/>
      <c r="AC568" s="101"/>
      <c r="AD568" s="101"/>
      <c r="AE568" s="101"/>
      <c r="AF568" s="101"/>
      <c r="AG568" s="101"/>
      <c r="AH568" s="101"/>
      <c r="AI568" s="101"/>
      <c r="AJ568" s="101"/>
      <c r="AK568" s="101"/>
      <c r="AL568" s="101"/>
      <c r="AM568" s="101"/>
      <c r="AN568" s="101"/>
      <c r="AO568" s="101"/>
    </row>
    <row r="569" spans="1:41">
      <c r="A569" s="115"/>
      <c r="B569" s="116"/>
      <c r="C569" s="117"/>
      <c r="D569" s="116"/>
      <c r="E569" s="101"/>
      <c r="F569" s="101"/>
      <c r="G569" s="101"/>
      <c r="H569" s="101"/>
      <c r="I569" s="101"/>
      <c r="J569" s="101"/>
      <c r="K569" s="101"/>
      <c r="L569" s="101"/>
      <c r="M569" s="101"/>
      <c r="N569" s="101"/>
      <c r="O569" s="101"/>
      <c r="P569" s="101"/>
      <c r="Q569" s="101"/>
      <c r="R569" s="101"/>
      <c r="S569" s="101"/>
      <c r="T569" s="101"/>
      <c r="U569" s="101"/>
      <c r="V569" s="101"/>
      <c r="W569" s="101"/>
      <c r="X569" s="101"/>
      <c r="Y569" s="101"/>
      <c r="Z569" s="101"/>
      <c r="AA569" s="101"/>
      <c r="AB569" s="101"/>
      <c r="AC569" s="101"/>
      <c r="AD569" s="101"/>
      <c r="AE569" s="101"/>
      <c r="AF569" s="101"/>
      <c r="AG569" s="101"/>
      <c r="AH569" s="101"/>
      <c r="AI569" s="101"/>
      <c r="AJ569" s="101"/>
      <c r="AK569" s="101"/>
      <c r="AL569" s="101"/>
      <c r="AM569" s="101"/>
      <c r="AN569" s="101"/>
      <c r="AO569" s="101"/>
    </row>
    <row r="570" spans="1:41">
      <c r="A570" s="115"/>
      <c r="B570" s="116"/>
      <c r="C570" s="117"/>
      <c r="D570" s="116"/>
      <c r="E570" s="101"/>
      <c r="F570" s="101"/>
      <c r="G570" s="101"/>
      <c r="H570" s="101"/>
      <c r="I570" s="101"/>
      <c r="J570" s="101"/>
      <c r="K570" s="101"/>
      <c r="L570" s="101"/>
      <c r="M570" s="101"/>
      <c r="N570" s="101"/>
      <c r="O570" s="101"/>
      <c r="P570" s="101"/>
      <c r="Q570" s="101"/>
      <c r="R570" s="101"/>
      <c r="S570" s="101"/>
      <c r="T570" s="101"/>
      <c r="U570" s="101"/>
      <c r="V570" s="101"/>
      <c r="W570" s="101"/>
      <c r="X570" s="101"/>
      <c r="Y570" s="101"/>
      <c r="Z570" s="101"/>
      <c r="AA570" s="101"/>
      <c r="AB570" s="101"/>
      <c r="AC570" s="101"/>
      <c r="AD570" s="101"/>
      <c r="AE570" s="101"/>
      <c r="AF570" s="101"/>
      <c r="AG570" s="101"/>
      <c r="AH570" s="101"/>
      <c r="AI570" s="101"/>
      <c r="AJ570" s="101"/>
      <c r="AK570" s="101"/>
      <c r="AL570" s="101"/>
      <c r="AM570" s="101"/>
      <c r="AN570" s="101"/>
      <c r="AO570" s="101"/>
    </row>
    <row r="571" spans="1:41">
      <c r="A571" s="115"/>
      <c r="B571" s="116"/>
      <c r="C571" s="117"/>
      <c r="D571" s="116"/>
      <c r="E571" s="101"/>
      <c r="F571" s="101"/>
      <c r="G571" s="101"/>
      <c r="H571" s="101"/>
      <c r="I571" s="101"/>
      <c r="J571" s="101"/>
      <c r="K571" s="101"/>
      <c r="L571" s="101"/>
      <c r="M571" s="101"/>
      <c r="N571" s="101"/>
      <c r="O571" s="101"/>
      <c r="P571" s="101"/>
      <c r="Q571" s="101"/>
      <c r="R571" s="101"/>
      <c r="S571" s="101"/>
      <c r="T571" s="101"/>
      <c r="U571" s="101"/>
      <c r="V571" s="101"/>
      <c r="W571" s="101"/>
      <c r="X571" s="101"/>
      <c r="Y571" s="101"/>
      <c r="Z571" s="101"/>
      <c r="AA571" s="101"/>
      <c r="AB571" s="101"/>
      <c r="AC571" s="101"/>
      <c r="AD571" s="101"/>
      <c r="AE571" s="101"/>
      <c r="AF571" s="101"/>
      <c r="AG571" s="101"/>
      <c r="AH571" s="101"/>
      <c r="AI571" s="101"/>
      <c r="AJ571" s="101"/>
      <c r="AK571" s="101"/>
      <c r="AL571" s="101"/>
      <c r="AM571" s="101"/>
      <c r="AN571" s="101"/>
      <c r="AO571" s="101"/>
    </row>
    <row r="572" spans="1:41">
      <c r="A572" s="115"/>
      <c r="B572" s="116"/>
      <c r="C572" s="117"/>
      <c r="D572" s="116"/>
      <c r="E572" s="101"/>
      <c r="F572" s="101"/>
      <c r="G572" s="101"/>
      <c r="H572" s="101"/>
      <c r="I572" s="101"/>
      <c r="J572" s="101"/>
      <c r="K572" s="101"/>
      <c r="L572" s="101"/>
      <c r="M572" s="101"/>
      <c r="N572" s="101"/>
      <c r="O572" s="101"/>
      <c r="P572" s="101"/>
      <c r="Q572" s="101"/>
      <c r="R572" s="101"/>
      <c r="S572" s="101"/>
      <c r="T572" s="101"/>
      <c r="U572" s="101"/>
      <c r="V572" s="101"/>
      <c r="W572" s="101"/>
      <c r="X572" s="101"/>
      <c r="Y572" s="101"/>
      <c r="Z572" s="101"/>
      <c r="AA572" s="101"/>
      <c r="AB572" s="101"/>
      <c r="AC572" s="101"/>
      <c r="AD572" s="101"/>
      <c r="AE572" s="101"/>
      <c r="AF572" s="101"/>
      <c r="AG572" s="101"/>
      <c r="AH572" s="101"/>
      <c r="AI572" s="101"/>
      <c r="AJ572" s="101"/>
      <c r="AK572" s="101"/>
      <c r="AL572" s="101"/>
      <c r="AM572" s="101"/>
      <c r="AN572" s="101"/>
      <c r="AO572" s="101"/>
    </row>
    <row r="573" spans="1:41">
      <c r="A573" s="115"/>
      <c r="B573" s="116"/>
      <c r="C573" s="117"/>
      <c r="D573" s="116"/>
      <c r="E573" s="101"/>
      <c r="F573" s="101"/>
      <c r="G573" s="101"/>
      <c r="H573" s="101"/>
      <c r="I573" s="101"/>
      <c r="J573" s="101"/>
      <c r="K573" s="101"/>
      <c r="L573" s="101"/>
      <c r="M573" s="101"/>
      <c r="N573" s="101"/>
      <c r="O573" s="101"/>
      <c r="P573" s="101"/>
      <c r="Q573" s="101"/>
      <c r="R573" s="101"/>
      <c r="S573" s="101"/>
      <c r="T573" s="101"/>
      <c r="U573" s="101"/>
      <c r="V573" s="101"/>
      <c r="W573" s="101"/>
      <c r="X573" s="101"/>
      <c r="Y573" s="101"/>
      <c r="Z573" s="101"/>
      <c r="AA573" s="101"/>
      <c r="AB573" s="101"/>
      <c r="AC573" s="101"/>
      <c r="AD573" s="101"/>
      <c r="AE573" s="101"/>
      <c r="AF573" s="101"/>
      <c r="AG573" s="101"/>
      <c r="AH573" s="101"/>
      <c r="AI573" s="101"/>
      <c r="AJ573" s="101"/>
      <c r="AK573" s="101"/>
      <c r="AL573" s="101"/>
      <c r="AM573" s="101"/>
      <c r="AN573" s="101"/>
      <c r="AO573" s="101"/>
    </row>
    <row r="574" spans="1:41">
      <c r="A574" s="115"/>
      <c r="B574" s="116"/>
      <c r="C574" s="117"/>
      <c r="D574" s="116"/>
      <c r="E574" s="101"/>
      <c r="F574" s="101"/>
      <c r="G574" s="101"/>
      <c r="H574" s="101"/>
      <c r="I574" s="101"/>
      <c r="J574" s="101"/>
      <c r="K574" s="101"/>
      <c r="L574" s="101"/>
      <c r="M574" s="101"/>
      <c r="N574" s="101"/>
      <c r="O574" s="101"/>
      <c r="P574" s="101"/>
      <c r="Q574" s="101"/>
      <c r="R574" s="101"/>
      <c r="S574" s="101"/>
      <c r="T574" s="101"/>
      <c r="U574" s="101"/>
      <c r="V574" s="101"/>
      <c r="W574" s="101"/>
      <c r="X574" s="101"/>
      <c r="Y574" s="101"/>
      <c r="Z574" s="101"/>
      <c r="AA574" s="101"/>
      <c r="AB574" s="101"/>
      <c r="AC574" s="101"/>
      <c r="AD574" s="101"/>
      <c r="AE574" s="101"/>
      <c r="AF574" s="101"/>
      <c r="AG574" s="101"/>
      <c r="AH574" s="101"/>
      <c r="AI574" s="101"/>
      <c r="AJ574" s="101"/>
      <c r="AK574" s="101"/>
      <c r="AL574" s="101"/>
      <c r="AM574" s="101"/>
      <c r="AN574" s="101"/>
      <c r="AO574" s="101"/>
    </row>
    <row r="575" spans="1:41">
      <c r="A575" s="115"/>
      <c r="B575" s="116"/>
      <c r="C575" s="117"/>
      <c r="D575" s="116"/>
      <c r="E575" s="101"/>
      <c r="F575" s="101"/>
      <c r="G575" s="101"/>
      <c r="H575" s="101"/>
      <c r="I575" s="101"/>
      <c r="J575" s="101"/>
      <c r="K575" s="101"/>
      <c r="L575" s="101"/>
      <c r="M575" s="101"/>
      <c r="N575" s="101"/>
      <c r="O575" s="101"/>
      <c r="P575" s="101"/>
      <c r="Q575" s="101"/>
      <c r="R575" s="101"/>
      <c r="S575" s="101"/>
      <c r="T575" s="101"/>
      <c r="U575" s="101"/>
      <c r="V575" s="101"/>
      <c r="W575" s="101"/>
      <c r="X575" s="101"/>
      <c r="Y575" s="101"/>
      <c r="Z575" s="101"/>
      <c r="AA575" s="101"/>
      <c r="AB575" s="101"/>
      <c r="AC575" s="101"/>
      <c r="AD575" s="101"/>
      <c r="AE575" s="101"/>
      <c r="AF575" s="101"/>
      <c r="AG575" s="101"/>
      <c r="AH575" s="101"/>
      <c r="AI575" s="101"/>
      <c r="AJ575" s="101"/>
      <c r="AK575" s="101"/>
      <c r="AL575" s="101"/>
      <c r="AM575" s="101"/>
      <c r="AN575" s="101"/>
      <c r="AO575" s="101"/>
    </row>
    <row r="576" spans="1:41">
      <c r="A576" s="115"/>
      <c r="B576" s="116"/>
      <c r="C576" s="117"/>
      <c r="D576" s="116"/>
      <c r="E576" s="101"/>
      <c r="F576" s="101"/>
      <c r="G576" s="101"/>
      <c r="H576" s="101"/>
      <c r="I576" s="101"/>
      <c r="J576" s="101"/>
      <c r="K576" s="101"/>
      <c r="L576" s="101"/>
      <c r="M576" s="101"/>
      <c r="N576" s="101"/>
      <c r="O576" s="101"/>
      <c r="P576" s="101"/>
      <c r="Q576" s="101"/>
      <c r="R576" s="101"/>
      <c r="S576" s="101"/>
      <c r="T576" s="101"/>
      <c r="U576" s="101"/>
      <c r="V576" s="101"/>
      <c r="W576" s="101"/>
      <c r="X576" s="101"/>
      <c r="Y576" s="101"/>
      <c r="Z576" s="101"/>
      <c r="AA576" s="101"/>
      <c r="AB576" s="101"/>
      <c r="AC576" s="101"/>
      <c r="AD576" s="101"/>
      <c r="AE576" s="101"/>
      <c r="AF576" s="101"/>
      <c r="AG576" s="101"/>
      <c r="AH576" s="101"/>
      <c r="AI576" s="101"/>
      <c r="AJ576" s="101"/>
      <c r="AK576" s="101"/>
      <c r="AL576" s="101"/>
      <c r="AM576" s="101"/>
      <c r="AN576" s="101"/>
      <c r="AO576" s="101"/>
    </row>
    <row r="577" spans="1:41">
      <c r="A577" s="115"/>
      <c r="B577" s="116"/>
      <c r="C577" s="117"/>
      <c r="D577" s="116"/>
      <c r="E577" s="101"/>
      <c r="F577" s="101"/>
      <c r="G577" s="101"/>
      <c r="H577" s="101"/>
      <c r="I577" s="101"/>
      <c r="J577" s="101"/>
      <c r="K577" s="101"/>
      <c r="L577" s="101"/>
      <c r="M577" s="101"/>
      <c r="N577" s="101"/>
      <c r="O577" s="101"/>
      <c r="P577" s="101"/>
      <c r="Q577" s="101"/>
      <c r="R577" s="101"/>
      <c r="S577" s="101"/>
      <c r="T577" s="101"/>
      <c r="U577" s="101"/>
      <c r="V577" s="101"/>
      <c r="W577" s="101"/>
      <c r="X577" s="101"/>
      <c r="Y577" s="101"/>
      <c r="Z577" s="101"/>
      <c r="AA577" s="101"/>
      <c r="AB577" s="101"/>
      <c r="AC577" s="101"/>
      <c r="AD577" s="101"/>
      <c r="AE577" s="101"/>
      <c r="AF577" s="101"/>
      <c r="AG577" s="101"/>
      <c r="AH577" s="101"/>
      <c r="AI577" s="101"/>
      <c r="AJ577" s="101"/>
      <c r="AK577" s="101"/>
      <c r="AL577" s="101"/>
      <c r="AM577" s="101"/>
      <c r="AN577" s="101"/>
      <c r="AO577" s="101"/>
    </row>
    <row r="578" spans="1:41">
      <c r="A578" s="115"/>
      <c r="B578" s="116"/>
      <c r="C578" s="117"/>
      <c r="D578" s="116"/>
      <c r="E578" s="101"/>
      <c r="F578" s="101"/>
      <c r="G578" s="101"/>
      <c r="H578" s="101"/>
      <c r="I578" s="101"/>
      <c r="J578" s="101"/>
      <c r="K578" s="101"/>
      <c r="L578" s="101"/>
      <c r="M578" s="101"/>
      <c r="N578" s="101"/>
      <c r="O578" s="101"/>
      <c r="P578" s="101"/>
      <c r="Q578" s="101"/>
      <c r="R578" s="101"/>
      <c r="S578" s="101"/>
      <c r="T578" s="101"/>
      <c r="U578" s="101"/>
      <c r="V578" s="101"/>
      <c r="W578" s="101"/>
      <c r="X578" s="101"/>
      <c r="Y578" s="101"/>
      <c r="Z578" s="101"/>
      <c r="AA578" s="101"/>
      <c r="AB578" s="101"/>
      <c r="AC578" s="101"/>
      <c r="AD578" s="101"/>
      <c r="AE578" s="101"/>
      <c r="AF578" s="101"/>
      <c r="AG578" s="101"/>
      <c r="AH578" s="101"/>
      <c r="AI578" s="101"/>
      <c r="AJ578" s="101"/>
      <c r="AK578" s="101"/>
      <c r="AL578" s="101"/>
      <c r="AM578" s="101"/>
      <c r="AN578" s="101"/>
      <c r="AO578" s="101"/>
    </row>
    <row r="579" spans="1:41">
      <c r="A579" s="115"/>
      <c r="B579" s="116"/>
      <c r="C579" s="117"/>
      <c r="D579" s="116"/>
      <c r="E579" s="101"/>
      <c r="F579" s="101"/>
      <c r="G579" s="101"/>
      <c r="H579" s="101"/>
      <c r="I579" s="101"/>
      <c r="J579" s="101"/>
      <c r="K579" s="101"/>
      <c r="L579" s="101"/>
      <c r="M579" s="101"/>
      <c r="N579" s="101"/>
      <c r="O579" s="101"/>
      <c r="P579" s="101"/>
      <c r="Q579" s="101"/>
      <c r="R579" s="101"/>
      <c r="S579" s="101"/>
      <c r="T579" s="101"/>
      <c r="U579" s="101"/>
      <c r="V579" s="101"/>
      <c r="W579" s="101"/>
      <c r="X579" s="101"/>
      <c r="Y579" s="101"/>
      <c r="Z579" s="101"/>
      <c r="AA579" s="101"/>
      <c r="AB579" s="101"/>
      <c r="AC579" s="101"/>
      <c r="AD579" s="101"/>
      <c r="AE579" s="101"/>
      <c r="AF579" s="101"/>
      <c r="AG579" s="101"/>
      <c r="AH579" s="101"/>
      <c r="AI579" s="101"/>
      <c r="AJ579" s="101"/>
      <c r="AK579" s="101"/>
      <c r="AL579" s="101"/>
      <c r="AM579" s="101"/>
      <c r="AN579" s="101"/>
      <c r="AO579" s="101"/>
    </row>
    <row r="580" spans="1:41">
      <c r="A580" s="115"/>
      <c r="B580" s="116"/>
      <c r="C580" s="117"/>
      <c r="D580" s="116"/>
      <c r="E580" s="101"/>
      <c r="F580" s="101"/>
      <c r="G580" s="101"/>
      <c r="H580" s="101"/>
      <c r="I580" s="101"/>
      <c r="J580" s="101"/>
      <c r="K580" s="101"/>
      <c r="L580" s="101"/>
      <c r="M580" s="101"/>
      <c r="N580" s="101"/>
      <c r="O580" s="101"/>
      <c r="P580" s="101"/>
      <c r="Q580" s="101"/>
      <c r="R580" s="101"/>
      <c r="S580" s="101"/>
      <c r="T580" s="101"/>
      <c r="U580" s="101"/>
      <c r="V580" s="101"/>
      <c r="W580" s="101"/>
      <c r="X580" s="101"/>
      <c r="Y580" s="101"/>
      <c r="Z580" s="101"/>
      <c r="AA580" s="101"/>
      <c r="AB580" s="101"/>
      <c r="AC580" s="101"/>
      <c r="AD580" s="101"/>
      <c r="AE580" s="101"/>
      <c r="AF580" s="101"/>
      <c r="AG580" s="101"/>
      <c r="AH580" s="101"/>
      <c r="AI580" s="101"/>
      <c r="AJ580" s="101"/>
      <c r="AK580" s="101"/>
      <c r="AL580" s="101"/>
      <c r="AM580" s="101"/>
      <c r="AN580" s="101"/>
      <c r="AO580" s="101"/>
    </row>
    <row r="581" spans="1:41">
      <c r="A581" s="115"/>
      <c r="B581" s="116"/>
      <c r="C581" s="117"/>
      <c r="D581" s="116"/>
      <c r="E581" s="101"/>
      <c r="F581" s="101"/>
      <c r="G581" s="101"/>
      <c r="H581" s="101"/>
      <c r="I581" s="101"/>
      <c r="J581" s="101"/>
      <c r="K581" s="101"/>
      <c r="L581" s="101"/>
      <c r="M581" s="101"/>
      <c r="N581" s="101"/>
      <c r="O581" s="101"/>
      <c r="P581" s="101"/>
      <c r="Q581" s="101"/>
      <c r="R581" s="101"/>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row>
    <row r="582" spans="1:41">
      <c r="A582" s="115"/>
      <c r="B582" s="116"/>
      <c r="C582" s="117"/>
      <c r="D582" s="116"/>
      <c r="E582" s="101"/>
      <c r="F582" s="101"/>
      <c r="G582" s="101"/>
      <c r="H582" s="101"/>
      <c r="I582" s="101"/>
      <c r="J582" s="101"/>
      <c r="K582" s="101"/>
      <c r="L582" s="101"/>
      <c r="M582" s="101"/>
      <c r="N582" s="101"/>
      <c r="O582" s="101"/>
      <c r="P582" s="101"/>
      <c r="Q582" s="101"/>
      <c r="R582" s="101"/>
      <c r="S582" s="101"/>
      <c r="T582" s="101"/>
      <c r="U582" s="101"/>
      <c r="V582" s="101"/>
      <c r="W582" s="101"/>
      <c r="X582" s="101"/>
      <c r="Y582" s="101"/>
      <c r="Z582" s="101"/>
      <c r="AA582" s="101"/>
      <c r="AB582" s="101"/>
      <c r="AC582" s="101"/>
      <c r="AD582" s="101"/>
      <c r="AE582" s="101"/>
      <c r="AF582" s="101"/>
      <c r="AG582" s="101"/>
      <c r="AH582" s="101"/>
      <c r="AI582" s="101"/>
      <c r="AJ582" s="101"/>
      <c r="AK582" s="101"/>
      <c r="AL582" s="101"/>
      <c r="AM582" s="101"/>
      <c r="AN582" s="101"/>
      <c r="AO582" s="101"/>
    </row>
    <row r="583" spans="1:41">
      <c r="A583" s="115"/>
      <c r="B583" s="116"/>
      <c r="C583" s="117"/>
      <c r="D583" s="116"/>
      <c r="E583" s="101"/>
      <c r="F583" s="101"/>
      <c r="G583" s="101"/>
      <c r="H583" s="101"/>
      <c r="I583" s="101"/>
      <c r="J583" s="101"/>
      <c r="K583" s="101"/>
      <c r="L583" s="101"/>
      <c r="M583" s="101"/>
      <c r="N583" s="101"/>
      <c r="O583" s="101"/>
      <c r="P583" s="101"/>
      <c r="Q583" s="101"/>
      <c r="R583" s="101"/>
      <c r="S583" s="101"/>
      <c r="T583" s="101"/>
      <c r="U583" s="101"/>
      <c r="V583" s="101"/>
      <c r="W583" s="101"/>
      <c r="X583" s="101"/>
      <c r="Y583" s="101"/>
      <c r="Z583" s="101"/>
      <c r="AA583" s="101"/>
      <c r="AB583" s="101"/>
      <c r="AC583" s="101"/>
      <c r="AD583" s="101"/>
      <c r="AE583" s="101"/>
      <c r="AF583" s="101"/>
      <c r="AG583" s="101"/>
      <c r="AH583" s="101"/>
      <c r="AI583" s="101"/>
      <c r="AJ583" s="101"/>
      <c r="AK583" s="101"/>
      <c r="AL583" s="101"/>
      <c r="AM583" s="101"/>
      <c r="AN583" s="101"/>
      <c r="AO583" s="101"/>
    </row>
    <row r="584" spans="1:41">
      <c r="A584" s="115"/>
      <c r="B584" s="116"/>
      <c r="C584" s="117"/>
      <c r="D584" s="116"/>
      <c r="E584" s="101"/>
      <c r="F584" s="101"/>
      <c r="G584" s="101"/>
      <c r="H584" s="101"/>
      <c r="I584" s="101"/>
      <c r="J584" s="101"/>
      <c r="K584" s="101"/>
      <c r="L584" s="101"/>
      <c r="M584" s="101"/>
      <c r="N584" s="101"/>
      <c r="O584" s="101"/>
      <c r="P584" s="101"/>
      <c r="Q584" s="101"/>
      <c r="R584" s="101"/>
      <c r="S584" s="101"/>
      <c r="T584" s="101"/>
      <c r="U584" s="101"/>
      <c r="V584" s="101"/>
      <c r="W584" s="101"/>
      <c r="X584" s="101"/>
      <c r="Y584" s="101"/>
      <c r="Z584" s="101"/>
      <c r="AA584" s="101"/>
      <c r="AB584" s="101"/>
      <c r="AC584" s="101"/>
      <c r="AD584" s="101"/>
      <c r="AE584" s="101"/>
      <c r="AF584" s="101"/>
      <c r="AG584" s="101"/>
      <c r="AH584" s="101"/>
      <c r="AI584" s="101"/>
      <c r="AJ584" s="101"/>
      <c r="AK584" s="101"/>
      <c r="AL584" s="101"/>
      <c r="AM584" s="101"/>
      <c r="AN584" s="101"/>
      <c r="AO584" s="101"/>
    </row>
    <row r="585" spans="1:41">
      <c r="A585" s="115"/>
      <c r="B585" s="116"/>
      <c r="C585" s="117"/>
      <c r="D585" s="116"/>
      <c r="E585" s="101"/>
      <c r="F585" s="101"/>
      <c r="G585" s="101"/>
      <c r="H585" s="101"/>
      <c r="I585" s="101"/>
      <c r="J585" s="101"/>
      <c r="K585" s="101"/>
      <c r="L585" s="101"/>
      <c r="M585" s="101"/>
      <c r="N585" s="101"/>
      <c r="O585" s="101"/>
      <c r="P585" s="101"/>
      <c r="Q585" s="101"/>
      <c r="R585" s="101"/>
      <c r="S585" s="101"/>
      <c r="T585" s="101"/>
      <c r="U585" s="101"/>
      <c r="V585" s="101"/>
      <c r="W585" s="101"/>
      <c r="X585" s="101"/>
      <c r="Y585" s="101"/>
      <c r="Z585" s="101"/>
      <c r="AA585" s="101"/>
      <c r="AB585" s="101"/>
      <c r="AC585" s="101"/>
      <c r="AD585" s="101"/>
      <c r="AE585" s="101"/>
      <c r="AF585" s="101"/>
      <c r="AG585" s="101"/>
      <c r="AH585" s="101"/>
      <c r="AI585" s="101"/>
      <c r="AJ585" s="101"/>
      <c r="AK585" s="101"/>
      <c r="AL585" s="101"/>
      <c r="AM585" s="101"/>
      <c r="AN585" s="101"/>
      <c r="AO585" s="101"/>
    </row>
    <row r="586" spans="1:41">
      <c r="A586" s="115"/>
      <c r="B586" s="116"/>
      <c r="C586" s="117"/>
      <c r="D586" s="116"/>
      <c r="E586" s="101"/>
      <c r="F586" s="101"/>
      <c r="G586" s="101"/>
      <c r="H586" s="101"/>
      <c r="I586" s="101"/>
      <c r="J586" s="101"/>
      <c r="K586" s="101"/>
      <c r="L586" s="101"/>
      <c r="M586" s="101"/>
      <c r="N586" s="101"/>
      <c r="O586" s="101"/>
      <c r="P586" s="101"/>
      <c r="Q586" s="101"/>
      <c r="R586" s="101"/>
      <c r="S586" s="101"/>
      <c r="T586" s="101"/>
      <c r="U586" s="101"/>
      <c r="V586" s="101"/>
      <c r="W586" s="101"/>
      <c r="X586" s="101"/>
      <c r="Y586" s="101"/>
      <c r="Z586" s="101"/>
      <c r="AA586" s="101"/>
      <c r="AB586" s="101"/>
      <c r="AC586" s="101"/>
      <c r="AD586" s="101"/>
      <c r="AE586" s="101"/>
      <c r="AF586" s="101"/>
      <c r="AG586" s="101"/>
      <c r="AH586" s="101"/>
      <c r="AI586" s="101"/>
      <c r="AJ586" s="101"/>
      <c r="AK586" s="101"/>
      <c r="AL586" s="101"/>
      <c r="AM586" s="101"/>
      <c r="AN586" s="101"/>
      <c r="AO586" s="101"/>
    </row>
    <row r="587" spans="1:41">
      <c r="A587" s="115"/>
      <c r="B587" s="116"/>
      <c r="C587" s="117"/>
      <c r="D587" s="116"/>
      <c r="E587" s="101"/>
      <c r="F587" s="101"/>
      <c r="G587" s="101"/>
      <c r="H587" s="101"/>
      <c r="I587" s="101"/>
      <c r="J587" s="101"/>
      <c r="K587" s="101"/>
      <c r="L587" s="101"/>
      <c r="M587" s="101"/>
      <c r="N587" s="101"/>
      <c r="O587" s="101"/>
      <c r="P587" s="101"/>
      <c r="Q587" s="101"/>
      <c r="R587" s="101"/>
      <c r="S587" s="101"/>
      <c r="T587" s="101"/>
      <c r="U587" s="101"/>
      <c r="V587" s="101"/>
      <c r="W587" s="101"/>
      <c r="X587" s="101"/>
      <c r="Y587" s="101"/>
      <c r="Z587" s="101"/>
      <c r="AA587" s="101"/>
      <c r="AB587" s="101"/>
      <c r="AC587" s="101"/>
      <c r="AD587" s="101"/>
      <c r="AE587" s="101"/>
      <c r="AF587" s="101"/>
      <c r="AG587" s="101"/>
      <c r="AH587" s="101"/>
      <c r="AI587" s="101"/>
      <c r="AJ587" s="101"/>
      <c r="AK587" s="101"/>
      <c r="AL587" s="101"/>
      <c r="AM587" s="101"/>
      <c r="AN587" s="101"/>
      <c r="AO587" s="101"/>
    </row>
    <row r="588" spans="1:41">
      <c r="A588" s="115"/>
      <c r="B588" s="116"/>
      <c r="C588" s="117"/>
      <c r="D588" s="116"/>
      <c r="E588" s="101"/>
      <c r="F588" s="101"/>
      <c r="G588" s="101"/>
      <c r="H588" s="101"/>
      <c r="I588" s="101"/>
      <c r="J588" s="101"/>
      <c r="K588" s="101"/>
      <c r="L588" s="101"/>
      <c r="M588" s="101"/>
      <c r="N588" s="101"/>
      <c r="O588" s="101"/>
      <c r="P588" s="101"/>
      <c r="Q588" s="101"/>
      <c r="R588" s="101"/>
      <c r="S588" s="101"/>
      <c r="T588" s="101"/>
      <c r="U588" s="101"/>
      <c r="V588" s="101"/>
      <c r="W588" s="101"/>
      <c r="X588" s="101"/>
      <c r="Y588" s="101"/>
      <c r="Z588" s="101"/>
      <c r="AA588" s="101"/>
      <c r="AB588" s="101"/>
      <c r="AC588" s="101"/>
      <c r="AD588" s="101"/>
      <c r="AE588" s="101"/>
      <c r="AF588" s="101"/>
      <c r="AG588" s="101"/>
      <c r="AH588" s="101"/>
      <c r="AI588" s="101"/>
      <c r="AJ588" s="101"/>
      <c r="AK588" s="101"/>
      <c r="AL588" s="101"/>
      <c r="AM588" s="101"/>
      <c r="AN588" s="101"/>
      <c r="AO588" s="101"/>
    </row>
    <row r="589" spans="1:41">
      <c r="A589" s="115"/>
      <c r="B589" s="116"/>
      <c r="C589" s="117"/>
      <c r="D589" s="116"/>
      <c r="E589" s="101"/>
      <c r="F589" s="101"/>
      <c r="G589" s="101"/>
      <c r="H589" s="101"/>
      <c r="I589" s="101"/>
      <c r="J589" s="101"/>
      <c r="K589" s="101"/>
      <c r="L589" s="101"/>
      <c r="M589" s="101"/>
      <c r="N589" s="101"/>
      <c r="O589" s="101"/>
      <c r="P589" s="101"/>
      <c r="Q589" s="101"/>
      <c r="R589" s="101"/>
      <c r="S589" s="101"/>
      <c r="T589" s="101"/>
      <c r="U589" s="101"/>
      <c r="V589" s="101"/>
      <c r="W589" s="101"/>
      <c r="X589" s="101"/>
      <c r="Y589" s="101"/>
      <c r="Z589" s="101"/>
      <c r="AA589" s="101"/>
      <c r="AB589" s="101"/>
      <c r="AC589" s="101"/>
      <c r="AD589" s="101"/>
      <c r="AE589" s="101"/>
      <c r="AF589" s="101"/>
      <c r="AG589" s="101"/>
      <c r="AH589" s="101"/>
      <c r="AI589" s="101"/>
      <c r="AJ589" s="101"/>
      <c r="AK589" s="101"/>
      <c r="AL589" s="101"/>
      <c r="AM589" s="101"/>
      <c r="AN589" s="101"/>
      <c r="AO589" s="101"/>
    </row>
    <row r="590" spans="1:41">
      <c r="A590" s="115"/>
      <c r="B590" s="116"/>
      <c r="C590" s="117"/>
      <c r="D590" s="116"/>
      <c r="E590" s="101"/>
      <c r="F590" s="101"/>
      <c r="G590" s="101"/>
      <c r="H590" s="101"/>
      <c r="I590" s="101"/>
      <c r="J590" s="101"/>
      <c r="K590" s="101"/>
      <c r="L590" s="101"/>
      <c r="M590" s="101"/>
      <c r="N590" s="101"/>
      <c r="O590" s="101"/>
      <c r="P590" s="101"/>
      <c r="Q590" s="101"/>
      <c r="R590" s="101"/>
      <c r="S590" s="101"/>
      <c r="T590" s="101"/>
      <c r="U590" s="101"/>
      <c r="V590" s="101"/>
      <c r="W590" s="101"/>
      <c r="X590" s="101"/>
      <c r="Y590" s="101"/>
      <c r="Z590" s="101"/>
      <c r="AA590" s="101"/>
      <c r="AB590" s="101"/>
      <c r="AC590" s="101"/>
      <c r="AD590" s="101"/>
      <c r="AE590" s="101"/>
      <c r="AF590" s="101"/>
      <c r="AG590" s="101"/>
      <c r="AH590" s="101"/>
      <c r="AI590" s="101"/>
      <c r="AJ590" s="101"/>
      <c r="AK590" s="101"/>
      <c r="AL590" s="101"/>
      <c r="AM590" s="101"/>
      <c r="AN590" s="101"/>
      <c r="AO590" s="101"/>
    </row>
    <row r="591" spans="1:41">
      <c r="A591" s="115"/>
      <c r="B591" s="116"/>
      <c r="C591" s="117"/>
      <c r="D591" s="116"/>
      <c r="E591" s="101"/>
      <c r="F591" s="101"/>
      <c r="G591" s="101"/>
      <c r="H591" s="101"/>
      <c r="I591" s="101"/>
      <c r="J591" s="101"/>
      <c r="K591" s="101"/>
      <c r="L591" s="101"/>
      <c r="M591" s="101"/>
      <c r="N591" s="101"/>
      <c r="O591" s="101"/>
      <c r="P591" s="101"/>
      <c r="Q591" s="101"/>
      <c r="R591" s="101"/>
      <c r="S591" s="101"/>
      <c r="T591" s="101"/>
      <c r="U591" s="101"/>
      <c r="V591" s="101"/>
      <c r="W591" s="101"/>
      <c r="X591" s="101"/>
      <c r="Y591" s="101"/>
      <c r="Z591" s="101"/>
      <c r="AA591" s="101"/>
      <c r="AB591" s="101"/>
      <c r="AC591" s="101"/>
      <c r="AD591" s="101"/>
      <c r="AE591" s="101"/>
      <c r="AF591" s="101"/>
      <c r="AG591" s="101"/>
      <c r="AH591" s="101"/>
      <c r="AI591" s="101"/>
      <c r="AJ591" s="101"/>
      <c r="AK591" s="101"/>
      <c r="AL591" s="101"/>
      <c r="AM591" s="101"/>
      <c r="AN591" s="101"/>
      <c r="AO591" s="101"/>
    </row>
    <row r="592" spans="1:41">
      <c r="A592" s="115"/>
      <c r="B592" s="116"/>
      <c r="C592" s="117"/>
      <c r="D592" s="116"/>
      <c r="E592" s="101"/>
      <c r="F592" s="101"/>
      <c r="G592" s="101"/>
      <c r="H592" s="101"/>
      <c r="I592" s="101"/>
      <c r="J592" s="101"/>
      <c r="K592" s="101"/>
      <c r="L592" s="101"/>
      <c r="M592" s="101"/>
      <c r="N592" s="101"/>
      <c r="O592" s="101"/>
      <c r="P592" s="101"/>
      <c r="Q592" s="101"/>
      <c r="R592" s="101"/>
      <c r="S592" s="101"/>
      <c r="T592" s="101"/>
      <c r="U592" s="101"/>
      <c r="V592" s="101"/>
      <c r="W592" s="101"/>
      <c r="X592" s="101"/>
      <c r="Y592" s="101"/>
      <c r="Z592" s="101"/>
      <c r="AA592" s="101"/>
      <c r="AB592" s="101"/>
      <c r="AC592" s="101"/>
      <c r="AD592" s="101"/>
      <c r="AE592" s="101"/>
      <c r="AF592" s="101"/>
      <c r="AG592" s="101"/>
      <c r="AH592" s="101"/>
      <c r="AI592" s="101"/>
      <c r="AJ592" s="101"/>
      <c r="AK592" s="101"/>
      <c r="AL592" s="101"/>
      <c r="AM592" s="101"/>
      <c r="AN592" s="101"/>
      <c r="AO592" s="101"/>
    </row>
    <row r="593" spans="1:41">
      <c r="A593" s="115"/>
      <c r="B593" s="116"/>
      <c r="C593" s="117"/>
      <c r="D593" s="116"/>
      <c r="E593" s="101"/>
      <c r="F593" s="101"/>
      <c r="G593" s="101"/>
      <c r="H593" s="101"/>
      <c r="I593" s="101"/>
      <c r="J593" s="101"/>
      <c r="K593" s="101"/>
      <c r="L593" s="101"/>
      <c r="M593" s="101"/>
      <c r="N593" s="101"/>
      <c r="O593" s="101"/>
      <c r="P593" s="101"/>
      <c r="Q593" s="101"/>
      <c r="R593" s="101"/>
      <c r="S593" s="101"/>
      <c r="T593" s="101"/>
      <c r="U593" s="101"/>
      <c r="V593" s="101"/>
      <c r="W593" s="101"/>
      <c r="X593" s="101"/>
      <c r="Y593" s="101"/>
      <c r="Z593" s="101"/>
      <c r="AA593" s="101"/>
      <c r="AB593" s="101"/>
      <c r="AC593" s="101"/>
      <c r="AD593" s="101"/>
      <c r="AE593" s="101"/>
      <c r="AF593" s="101"/>
      <c r="AG593" s="101"/>
      <c r="AH593" s="101"/>
      <c r="AI593" s="101"/>
      <c r="AJ593" s="101"/>
      <c r="AK593" s="101"/>
      <c r="AL593" s="101"/>
      <c r="AM593" s="101"/>
      <c r="AN593" s="101"/>
      <c r="AO593" s="101"/>
    </row>
    <row r="594" spans="1:41">
      <c r="A594" s="115"/>
      <c r="B594" s="116"/>
      <c r="C594" s="117"/>
      <c r="D594" s="116"/>
      <c r="E594" s="101"/>
      <c r="F594" s="101"/>
      <c r="G594" s="101"/>
      <c r="H594" s="101"/>
      <c r="I594" s="101"/>
      <c r="J594" s="101"/>
      <c r="K594" s="101"/>
      <c r="L594" s="101"/>
      <c r="M594" s="101"/>
      <c r="N594" s="101"/>
      <c r="O594" s="101"/>
      <c r="P594" s="101"/>
      <c r="Q594" s="101"/>
      <c r="R594" s="101"/>
      <c r="S594" s="101"/>
      <c r="T594" s="101"/>
      <c r="U594" s="101"/>
      <c r="V594" s="101"/>
      <c r="W594" s="101"/>
      <c r="X594" s="101"/>
      <c r="Y594" s="101"/>
      <c r="Z594" s="101"/>
      <c r="AA594" s="101"/>
      <c r="AB594" s="101"/>
      <c r="AC594" s="101"/>
      <c r="AD594" s="101"/>
      <c r="AE594" s="101"/>
      <c r="AF594" s="101"/>
      <c r="AG594" s="101"/>
      <c r="AH594" s="101"/>
      <c r="AI594" s="101"/>
      <c r="AJ594" s="101"/>
      <c r="AK594" s="101"/>
      <c r="AL594" s="101"/>
      <c r="AM594" s="101"/>
      <c r="AN594" s="101"/>
      <c r="AO594" s="101"/>
    </row>
    <row r="595" spans="1:41">
      <c r="A595" s="115"/>
      <c r="B595" s="116"/>
      <c r="C595" s="117"/>
      <c r="D595" s="116"/>
      <c r="E595" s="101"/>
      <c r="F595" s="101"/>
      <c r="G595" s="101"/>
      <c r="H595" s="101"/>
      <c r="I595" s="101"/>
      <c r="J595" s="101"/>
      <c r="K595" s="101"/>
      <c r="L595" s="101"/>
      <c r="M595" s="101"/>
      <c r="N595" s="101"/>
      <c r="O595" s="101"/>
      <c r="P595" s="101"/>
      <c r="Q595" s="101"/>
      <c r="R595" s="101"/>
      <c r="S595" s="101"/>
      <c r="T595" s="101"/>
      <c r="U595" s="101"/>
      <c r="V595" s="101"/>
      <c r="W595" s="101"/>
      <c r="X595" s="101"/>
      <c r="Y595" s="101"/>
      <c r="Z595" s="101"/>
      <c r="AA595" s="101"/>
      <c r="AB595" s="101"/>
      <c r="AC595" s="101"/>
      <c r="AD595" s="101"/>
      <c r="AE595" s="101"/>
      <c r="AF595" s="101"/>
      <c r="AG595" s="101"/>
      <c r="AH595" s="101"/>
      <c r="AI595" s="101"/>
      <c r="AJ595" s="101"/>
      <c r="AK595" s="101"/>
      <c r="AL595" s="101"/>
      <c r="AM595" s="101"/>
      <c r="AN595" s="101"/>
      <c r="AO595" s="101"/>
    </row>
    <row r="596" spans="1:41">
      <c r="A596" s="115"/>
      <c r="B596" s="116"/>
      <c r="C596" s="117"/>
      <c r="D596" s="116"/>
      <c r="E596" s="101"/>
      <c r="F596" s="101"/>
      <c r="G596" s="101"/>
      <c r="H596" s="101"/>
      <c r="I596" s="101"/>
      <c r="J596" s="101"/>
      <c r="K596" s="101"/>
      <c r="L596" s="101"/>
      <c r="M596" s="101"/>
      <c r="N596" s="101"/>
      <c r="O596" s="101"/>
      <c r="P596" s="101"/>
      <c r="Q596" s="101"/>
      <c r="R596" s="101"/>
      <c r="S596" s="101"/>
      <c r="T596" s="101"/>
      <c r="U596" s="101"/>
      <c r="V596" s="101"/>
      <c r="W596" s="101"/>
      <c r="X596" s="101"/>
      <c r="Y596" s="101"/>
      <c r="Z596" s="101"/>
      <c r="AA596" s="101"/>
      <c r="AB596" s="101"/>
      <c r="AC596" s="101"/>
      <c r="AD596" s="101"/>
      <c r="AE596" s="101"/>
      <c r="AF596" s="101"/>
      <c r="AG596" s="101"/>
      <c r="AH596" s="101"/>
      <c r="AI596" s="101"/>
      <c r="AJ596" s="101"/>
      <c r="AK596" s="101"/>
      <c r="AL596" s="101"/>
      <c r="AM596" s="101"/>
      <c r="AN596" s="101"/>
      <c r="AO596" s="101"/>
    </row>
    <row r="597" spans="1:41">
      <c r="A597" s="115"/>
      <c r="B597" s="116"/>
      <c r="C597" s="117"/>
      <c r="D597" s="116"/>
      <c r="E597" s="101"/>
      <c r="F597" s="101"/>
      <c r="G597" s="101"/>
      <c r="H597" s="101"/>
      <c r="I597" s="101"/>
      <c r="J597" s="101"/>
      <c r="K597" s="101"/>
      <c r="L597" s="101"/>
      <c r="M597" s="101"/>
      <c r="N597" s="101"/>
      <c r="O597" s="101"/>
      <c r="P597" s="101"/>
      <c r="Q597" s="101"/>
      <c r="R597" s="101"/>
      <c r="S597" s="101"/>
      <c r="T597" s="101"/>
      <c r="U597" s="101"/>
      <c r="V597" s="101"/>
      <c r="W597" s="101"/>
      <c r="X597" s="101"/>
      <c r="Y597" s="101"/>
      <c r="Z597" s="101"/>
      <c r="AA597" s="101"/>
      <c r="AB597" s="101"/>
      <c r="AC597" s="101"/>
      <c r="AD597" s="101"/>
      <c r="AE597" s="101"/>
      <c r="AF597" s="101"/>
      <c r="AG597" s="101"/>
      <c r="AH597" s="101"/>
      <c r="AI597" s="101"/>
      <c r="AJ597" s="101"/>
      <c r="AK597" s="101"/>
      <c r="AL597" s="101"/>
      <c r="AM597" s="101"/>
      <c r="AN597" s="101"/>
      <c r="AO597" s="101"/>
    </row>
    <row r="598" spans="1:41">
      <c r="A598" s="115"/>
      <c r="B598" s="116"/>
      <c r="C598" s="117"/>
      <c r="D598" s="116"/>
      <c r="E598" s="101"/>
      <c r="F598" s="101"/>
      <c r="G598" s="101"/>
      <c r="H598" s="101"/>
      <c r="I598" s="101"/>
      <c r="J598" s="101"/>
      <c r="K598" s="101"/>
      <c r="L598" s="101"/>
      <c r="M598" s="101"/>
      <c r="N598" s="101"/>
      <c r="O598" s="101"/>
      <c r="P598" s="101"/>
      <c r="Q598" s="101"/>
      <c r="R598" s="101"/>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row>
    <row r="599" spans="1:41">
      <c r="A599" s="115"/>
      <c r="B599" s="116"/>
      <c r="C599" s="117"/>
      <c r="D599" s="116"/>
      <c r="E599" s="101"/>
      <c r="F599" s="101"/>
      <c r="G599" s="101"/>
      <c r="H599" s="101"/>
      <c r="I599" s="101"/>
      <c r="J599" s="101"/>
      <c r="K599" s="101"/>
      <c r="L599" s="101"/>
      <c r="M599" s="101"/>
      <c r="N599" s="101"/>
      <c r="O599" s="101"/>
      <c r="P599" s="101"/>
      <c r="Q599" s="101"/>
      <c r="R599" s="101"/>
      <c r="S599" s="101"/>
      <c r="T599" s="101"/>
      <c r="U599" s="101"/>
      <c r="V599" s="101"/>
      <c r="W599" s="101"/>
      <c r="X599" s="101"/>
      <c r="Y599" s="101"/>
      <c r="Z599" s="101"/>
      <c r="AA599" s="101"/>
      <c r="AB599" s="101"/>
      <c r="AC599" s="101"/>
      <c r="AD599" s="101"/>
      <c r="AE599" s="101"/>
      <c r="AF599" s="101"/>
      <c r="AG599" s="101"/>
      <c r="AH599" s="101"/>
      <c r="AI599" s="101"/>
      <c r="AJ599" s="101"/>
      <c r="AK599" s="101"/>
      <c r="AL599" s="101"/>
      <c r="AM599" s="101"/>
      <c r="AN599" s="101"/>
      <c r="AO599" s="101"/>
    </row>
    <row r="600" spans="1:41">
      <c r="A600" s="115"/>
      <c r="B600" s="116"/>
      <c r="C600" s="117"/>
      <c r="D600" s="116"/>
      <c r="E600" s="101"/>
      <c r="F600" s="101"/>
      <c r="G600" s="101"/>
      <c r="H600" s="101"/>
      <c r="I600" s="101"/>
      <c r="J600" s="101"/>
      <c r="K600" s="101"/>
      <c r="L600" s="101"/>
      <c r="M600" s="101"/>
      <c r="N600" s="101"/>
      <c r="O600" s="101"/>
      <c r="P600" s="101"/>
      <c r="Q600" s="101"/>
      <c r="R600" s="101"/>
      <c r="S600" s="101"/>
      <c r="T600" s="101"/>
      <c r="U600" s="101"/>
      <c r="V600" s="101"/>
      <c r="W600" s="101"/>
      <c r="X600" s="101"/>
      <c r="Y600" s="101"/>
      <c r="Z600" s="101"/>
      <c r="AA600" s="101"/>
      <c r="AB600" s="101"/>
      <c r="AC600" s="101"/>
      <c r="AD600" s="101"/>
      <c r="AE600" s="101"/>
      <c r="AF600" s="101"/>
      <c r="AG600" s="101"/>
      <c r="AH600" s="101"/>
      <c r="AI600" s="101"/>
      <c r="AJ600" s="101"/>
      <c r="AK600" s="101"/>
      <c r="AL600" s="101"/>
      <c r="AM600" s="101"/>
      <c r="AN600" s="101"/>
      <c r="AO600" s="101"/>
    </row>
    <row r="601" spans="1:41">
      <c r="A601" s="115"/>
      <c r="B601" s="116"/>
      <c r="C601" s="117"/>
      <c r="D601" s="116"/>
      <c r="E601" s="101"/>
      <c r="F601" s="101"/>
      <c r="G601" s="101"/>
      <c r="H601" s="101"/>
      <c r="I601" s="101"/>
      <c r="J601" s="101"/>
      <c r="K601" s="101"/>
      <c r="L601" s="101"/>
      <c r="M601" s="101"/>
      <c r="N601" s="101"/>
      <c r="O601" s="101"/>
      <c r="P601" s="101"/>
      <c r="Q601" s="101"/>
      <c r="R601" s="101"/>
      <c r="S601" s="101"/>
      <c r="T601" s="101"/>
      <c r="U601" s="101"/>
      <c r="V601" s="101"/>
      <c r="W601" s="101"/>
      <c r="X601" s="101"/>
      <c r="Y601" s="101"/>
      <c r="Z601" s="101"/>
      <c r="AA601" s="101"/>
      <c r="AB601" s="101"/>
      <c r="AC601" s="101"/>
      <c r="AD601" s="101"/>
      <c r="AE601" s="101"/>
      <c r="AF601" s="101"/>
      <c r="AG601" s="101"/>
      <c r="AH601" s="101"/>
      <c r="AI601" s="101"/>
      <c r="AJ601" s="101"/>
      <c r="AK601" s="101"/>
      <c r="AL601" s="101"/>
      <c r="AM601" s="101"/>
      <c r="AN601" s="101"/>
      <c r="AO601" s="101"/>
    </row>
    <row r="602" spans="1:41">
      <c r="A602" s="115"/>
      <c r="B602" s="116"/>
      <c r="C602" s="117"/>
      <c r="D602" s="116"/>
      <c r="E602" s="101"/>
      <c r="F602" s="101"/>
      <c r="G602" s="101"/>
      <c r="H602" s="101"/>
      <c r="I602" s="101"/>
      <c r="J602" s="101"/>
      <c r="K602" s="101"/>
      <c r="L602" s="101"/>
      <c r="M602" s="101"/>
      <c r="N602" s="101"/>
      <c r="O602" s="101"/>
      <c r="P602" s="101"/>
      <c r="Q602" s="101"/>
      <c r="R602" s="101"/>
      <c r="S602" s="101"/>
      <c r="T602" s="101"/>
      <c r="U602" s="101"/>
      <c r="V602" s="101"/>
      <c r="W602" s="101"/>
      <c r="X602" s="101"/>
      <c r="Y602" s="101"/>
      <c r="Z602" s="101"/>
      <c r="AA602" s="101"/>
      <c r="AB602" s="101"/>
      <c r="AC602" s="101"/>
      <c r="AD602" s="101"/>
      <c r="AE602" s="101"/>
      <c r="AF602" s="101"/>
      <c r="AG602" s="101"/>
      <c r="AH602" s="101"/>
      <c r="AI602" s="101"/>
      <c r="AJ602" s="101"/>
      <c r="AK602" s="101"/>
      <c r="AL602" s="101"/>
      <c r="AM602" s="101"/>
      <c r="AN602" s="101"/>
      <c r="AO602" s="101"/>
    </row>
    <row r="603" spans="1:41">
      <c r="A603" s="115"/>
      <c r="B603" s="116"/>
      <c r="C603" s="117"/>
      <c r="D603" s="116"/>
      <c r="E603" s="101"/>
      <c r="F603" s="101"/>
      <c r="G603" s="101"/>
      <c r="H603" s="101"/>
      <c r="I603" s="101"/>
      <c r="J603" s="101"/>
      <c r="K603" s="101"/>
      <c r="L603" s="101"/>
      <c r="M603" s="101"/>
      <c r="N603" s="101"/>
      <c r="O603" s="101"/>
      <c r="P603" s="101"/>
      <c r="Q603" s="101"/>
      <c r="R603" s="101"/>
      <c r="S603" s="101"/>
      <c r="T603" s="101"/>
      <c r="U603" s="101"/>
      <c r="V603" s="101"/>
      <c r="W603" s="101"/>
      <c r="X603" s="101"/>
      <c r="Y603" s="101"/>
      <c r="Z603" s="101"/>
      <c r="AA603" s="101"/>
      <c r="AB603" s="101"/>
      <c r="AC603" s="101"/>
      <c r="AD603" s="101"/>
      <c r="AE603" s="101"/>
      <c r="AF603" s="101"/>
      <c r="AG603" s="101"/>
      <c r="AH603" s="101"/>
      <c r="AI603" s="101"/>
      <c r="AJ603" s="101"/>
      <c r="AK603" s="101"/>
      <c r="AL603" s="101"/>
      <c r="AM603" s="101"/>
      <c r="AN603" s="101"/>
      <c r="AO603" s="101"/>
    </row>
    <row r="604" spans="1:41">
      <c r="A604" s="115"/>
      <c r="B604" s="116"/>
      <c r="C604" s="117"/>
      <c r="D604" s="116"/>
      <c r="E604" s="101"/>
      <c r="F604" s="101"/>
      <c r="G604" s="101"/>
      <c r="H604" s="101"/>
      <c r="I604" s="101"/>
      <c r="J604" s="101"/>
      <c r="K604" s="101"/>
      <c r="L604" s="101"/>
      <c r="M604" s="101"/>
      <c r="N604" s="101"/>
      <c r="O604" s="101"/>
      <c r="P604" s="101"/>
      <c r="Q604" s="101"/>
      <c r="R604" s="101"/>
      <c r="S604" s="101"/>
      <c r="T604" s="101"/>
      <c r="U604" s="101"/>
      <c r="V604" s="101"/>
      <c r="W604" s="101"/>
      <c r="X604" s="101"/>
      <c r="Y604" s="101"/>
      <c r="Z604" s="101"/>
      <c r="AA604" s="101"/>
      <c r="AB604" s="101"/>
      <c r="AC604" s="101"/>
      <c r="AD604" s="101"/>
      <c r="AE604" s="101"/>
      <c r="AF604" s="101"/>
      <c r="AG604" s="101"/>
      <c r="AH604" s="101"/>
      <c r="AI604" s="101"/>
      <c r="AJ604" s="101"/>
      <c r="AK604" s="101"/>
      <c r="AL604" s="101"/>
      <c r="AM604" s="101"/>
      <c r="AN604" s="101"/>
      <c r="AO604" s="101"/>
    </row>
    <row r="605" spans="1:41">
      <c r="A605" s="115"/>
      <c r="B605" s="116"/>
      <c r="C605" s="117"/>
      <c r="D605" s="116"/>
      <c r="E605" s="101"/>
      <c r="F605" s="101"/>
      <c r="G605" s="101"/>
      <c r="H605" s="101"/>
      <c r="I605" s="101"/>
      <c r="J605" s="101"/>
      <c r="K605" s="101"/>
      <c r="L605" s="101"/>
      <c r="M605" s="101"/>
      <c r="N605" s="101"/>
      <c r="O605" s="101"/>
      <c r="P605" s="101"/>
      <c r="Q605" s="101"/>
      <c r="R605" s="101"/>
      <c r="S605" s="101"/>
      <c r="T605" s="101"/>
      <c r="U605" s="101"/>
      <c r="V605" s="101"/>
      <c r="W605" s="101"/>
      <c r="X605" s="101"/>
      <c r="Y605" s="101"/>
      <c r="Z605" s="101"/>
      <c r="AA605" s="101"/>
      <c r="AB605" s="101"/>
      <c r="AC605" s="101"/>
      <c r="AD605" s="101"/>
      <c r="AE605" s="101"/>
      <c r="AF605" s="101"/>
      <c r="AG605" s="101"/>
      <c r="AH605" s="101"/>
      <c r="AI605" s="101"/>
      <c r="AJ605" s="101"/>
      <c r="AK605" s="101"/>
      <c r="AL605" s="101"/>
      <c r="AM605" s="101"/>
      <c r="AN605" s="101"/>
      <c r="AO605" s="101"/>
    </row>
    <row r="606" spans="1:41">
      <c r="A606" s="115"/>
      <c r="B606" s="116"/>
      <c r="C606" s="117"/>
      <c r="D606" s="116"/>
      <c r="E606" s="101"/>
      <c r="F606" s="101"/>
      <c r="G606" s="101"/>
      <c r="H606" s="101"/>
      <c r="I606" s="101"/>
      <c r="J606" s="101"/>
      <c r="K606" s="101"/>
      <c r="L606" s="101"/>
      <c r="M606" s="101"/>
      <c r="N606" s="101"/>
      <c r="O606" s="101"/>
      <c r="P606" s="101"/>
      <c r="Q606" s="101"/>
      <c r="R606" s="101"/>
      <c r="S606" s="101"/>
      <c r="T606" s="101"/>
      <c r="U606" s="101"/>
      <c r="V606" s="101"/>
      <c r="W606" s="101"/>
      <c r="X606" s="101"/>
      <c r="Y606" s="101"/>
      <c r="Z606" s="101"/>
      <c r="AA606" s="101"/>
      <c r="AB606" s="101"/>
      <c r="AC606" s="101"/>
      <c r="AD606" s="101"/>
      <c r="AE606" s="101"/>
      <c r="AF606" s="101"/>
      <c r="AG606" s="101"/>
      <c r="AH606" s="101"/>
      <c r="AI606" s="101"/>
      <c r="AJ606" s="101"/>
      <c r="AK606" s="101"/>
      <c r="AL606" s="101"/>
      <c r="AM606" s="101"/>
      <c r="AN606" s="101"/>
      <c r="AO606" s="101"/>
    </row>
    <row r="607" spans="1:41">
      <c r="A607" s="115"/>
      <c r="B607" s="116"/>
      <c r="C607" s="117"/>
      <c r="D607" s="116"/>
      <c r="E607" s="101"/>
      <c r="F607" s="101"/>
      <c r="G607" s="101"/>
      <c r="H607" s="101"/>
      <c r="I607" s="101"/>
      <c r="J607" s="101"/>
      <c r="K607" s="101"/>
      <c r="L607" s="101"/>
      <c r="M607" s="101"/>
      <c r="N607" s="101"/>
      <c r="O607" s="101"/>
      <c r="P607" s="101"/>
      <c r="Q607" s="101"/>
      <c r="R607" s="101"/>
      <c r="S607" s="101"/>
      <c r="T607" s="101"/>
      <c r="U607" s="101"/>
      <c r="V607" s="101"/>
      <c r="W607" s="101"/>
      <c r="X607" s="101"/>
      <c r="Y607" s="101"/>
      <c r="Z607" s="101"/>
      <c r="AA607" s="101"/>
      <c r="AB607" s="101"/>
      <c r="AC607" s="101"/>
      <c r="AD607" s="101"/>
      <c r="AE607" s="101"/>
      <c r="AF607" s="101"/>
      <c r="AG607" s="101"/>
      <c r="AH607" s="101"/>
      <c r="AI607" s="101"/>
      <c r="AJ607" s="101"/>
      <c r="AK607" s="101"/>
      <c r="AL607" s="101"/>
      <c r="AM607" s="101"/>
      <c r="AN607" s="101"/>
      <c r="AO607" s="101"/>
    </row>
    <row r="608" spans="1:41">
      <c r="A608" s="115"/>
      <c r="B608" s="116"/>
      <c r="C608" s="117"/>
      <c r="D608" s="116"/>
      <c r="E608" s="101"/>
      <c r="F608" s="101"/>
      <c r="G608" s="101"/>
      <c r="H608" s="101"/>
      <c r="I608" s="101"/>
      <c r="J608" s="101"/>
      <c r="K608" s="101"/>
      <c r="L608" s="101"/>
      <c r="M608" s="101"/>
      <c r="N608" s="101"/>
      <c r="O608" s="101"/>
      <c r="P608" s="101"/>
      <c r="Q608" s="101"/>
      <c r="R608" s="101"/>
      <c r="S608" s="101"/>
      <c r="T608" s="101"/>
      <c r="U608" s="101"/>
      <c r="V608" s="101"/>
      <c r="W608" s="101"/>
      <c r="X608" s="101"/>
      <c r="Y608" s="101"/>
      <c r="Z608" s="101"/>
      <c r="AA608" s="101"/>
      <c r="AB608" s="101"/>
      <c r="AC608" s="101"/>
      <c r="AD608" s="101"/>
      <c r="AE608" s="101"/>
      <c r="AF608" s="101"/>
      <c r="AG608" s="101"/>
      <c r="AH608" s="101"/>
      <c r="AI608" s="101"/>
      <c r="AJ608" s="101"/>
      <c r="AK608" s="101"/>
      <c r="AL608" s="101"/>
      <c r="AM608" s="101"/>
      <c r="AN608" s="101"/>
      <c r="AO608" s="101"/>
    </row>
    <row r="609" spans="1:41">
      <c r="A609" s="115"/>
      <c r="B609" s="116"/>
      <c r="C609" s="117"/>
      <c r="D609" s="116"/>
      <c r="E609" s="101"/>
      <c r="F609" s="101"/>
      <c r="G609" s="101"/>
      <c r="H609" s="101"/>
      <c r="I609" s="101"/>
      <c r="J609" s="101"/>
      <c r="K609" s="101"/>
      <c r="L609" s="101"/>
      <c r="M609" s="101"/>
      <c r="N609" s="101"/>
      <c r="O609" s="101"/>
      <c r="P609" s="101"/>
      <c r="Q609" s="101"/>
      <c r="R609" s="101"/>
      <c r="S609" s="101"/>
      <c r="T609" s="101"/>
      <c r="U609" s="101"/>
      <c r="V609" s="101"/>
      <c r="W609" s="101"/>
      <c r="X609" s="101"/>
      <c r="Y609" s="101"/>
      <c r="Z609" s="101"/>
      <c r="AA609" s="101"/>
      <c r="AB609" s="101"/>
      <c r="AC609" s="101"/>
      <c r="AD609" s="101"/>
      <c r="AE609" s="101"/>
      <c r="AF609" s="101"/>
      <c r="AG609" s="101"/>
      <c r="AH609" s="101"/>
      <c r="AI609" s="101"/>
      <c r="AJ609" s="101"/>
      <c r="AK609" s="101"/>
      <c r="AL609" s="101"/>
      <c r="AM609" s="101"/>
      <c r="AN609" s="101"/>
      <c r="AO609" s="101"/>
    </row>
    <row r="610" spans="1:41">
      <c r="A610" s="115"/>
      <c r="B610" s="116"/>
      <c r="C610" s="117"/>
      <c r="D610" s="116"/>
      <c r="E610" s="101"/>
      <c r="F610" s="101"/>
      <c r="G610" s="101"/>
      <c r="H610" s="101"/>
      <c r="I610" s="101"/>
      <c r="J610" s="101"/>
      <c r="K610" s="101"/>
      <c r="L610" s="101"/>
      <c r="M610" s="101"/>
      <c r="N610" s="101"/>
      <c r="O610" s="101"/>
      <c r="P610" s="101"/>
      <c r="Q610" s="101"/>
      <c r="R610" s="101"/>
      <c r="S610" s="101"/>
      <c r="T610" s="101"/>
      <c r="U610" s="101"/>
      <c r="V610" s="101"/>
      <c r="W610" s="101"/>
      <c r="X610" s="101"/>
      <c r="Y610" s="101"/>
      <c r="Z610" s="101"/>
      <c r="AA610" s="101"/>
      <c r="AB610" s="101"/>
      <c r="AC610" s="101"/>
      <c r="AD610" s="101"/>
      <c r="AE610" s="101"/>
      <c r="AF610" s="101"/>
      <c r="AG610" s="101"/>
      <c r="AH610" s="101"/>
      <c r="AI610" s="101"/>
      <c r="AJ610" s="101"/>
      <c r="AK610" s="101"/>
      <c r="AL610" s="101"/>
      <c r="AM610" s="101"/>
      <c r="AN610" s="101"/>
      <c r="AO610" s="101"/>
    </row>
    <row r="611" spans="1:41">
      <c r="A611" s="115"/>
      <c r="B611" s="116"/>
      <c r="C611" s="117"/>
      <c r="D611" s="116"/>
      <c r="E611" s="101"/>
      <c r="F611" s="101"/>
      <c r="G611" s="101"/>
      <c r="H611" s="101"/>
      <c r="I611" s="101"/>
      <c r="J611" s="101"/>
      <c r="K611" s="101"/>
      <c r="L611" s="101"/>
      <c r="M611" s="101"/>
      <c r="N611" s="101"/>
      <c r="O611" s="101"/>
      <c r="P611" s="101"/>
      <c r="Q611" s="101"/>
      <c r="R611" s="101"/>
      <c r="S611" s="101"/>
      <c r="T611" s="101"/>
      <c r="U611" s="101"/>
      <c r="V611" s="101"/>
      <c r="W611" s="101"/>
      <c r="X611" s="101"/>
      <c r="Y611" s="101"/>
      <c r="Z611" s="101"/>
      <c r="AA611" s="101"/>
      <c r="AB611" s="101"/>
      <c r="AC611" s="101"/>
      <c r="AD611" s="101"/>
      <c r="AE611" s="101"/>
      <c r="AF611" s="101"/>
      <c r="AG611" s="101"/>
      <c r="AH611" s="101"/>
      <c r="AI611" s="101"/>
      <c r="AJ611" s="101"/>
      <c r="AK611" s="101"/>
      <c r="AL611" s="101"/>
      <c r="AM611" s="101"/>
      <c r="AN611" s="101"/>
      <c r="AO611" s="101"/>
    </row>
    <row r="612" spans="1:41">
      <c r="A612" s="115"/>
      <c r="B612" s="116"/>
      <c r="C612" s="117"/>
      <c r="D612" s="116"/>
      <c r="E612" s="101"/>
      <c r="F612" s="101"/>
      <c r="G612" s="101"/>
      <c r="H612" s="101"/>
      <c r="I612" s="101"/>
      <c r="J612" s="101"/>
      <c r="K612" s="101"/>
      <c r="L612" s="101"/>
      <c r="M612" s="101"/>
      <c r="N612" s="101"/>
      <c r="O612" s="101"/>
      <c r="P612" s="101"/>
      <c r="Q612" s="101"/>
      <c r="R612" s="101"/>
      <c r="S612" s="101"/>
      <c r="T612" s="101"/>
      <c r="U612" s="101"/>
      <c r="V612" s="101"/>
      <c r="W612" s="101"/>
      <c r="X612" s="101"/>
      <c r="Y612" s="101"/>
      <c r="Z612" s="101"/>
      <c r="AA612" s="101"/>
      <c r="AB612" s="101"/>
      <c r="AC612" s="101"/>
      <c r="AD612" s="101"/>
      <c r="AE612" s="101"/>
      <c r="AF612" s="101"/>
      <c r="AG612" s="101"/>
      <c r="AH612" s="101"/>
      <c r="AI612" s="101"/>
      <c r="AJ612" s="101"/>
      <c r="AK612" s="101"/>
      <c r="AL612" s="101"/>
      <c r="AM612" s="101"/>
      <c r="AN612" s="101"/>
      <c r="AO612" s="101"/>
    </row>
    <row r="613" spans="1:41">
      <c r="A613" s="115"/>
      <c r="B613" s="116"/>
      <c r="C613" s="117"/>
      <c r="D613" s="116"/>
      <c r="E613" s="101"/>
      <c r="F613" s="101"/>
      <c r="G613" s="101"/>
      <c r="H613" s="101"/>
      <c r="I613" s="101"/>
      <c r="J613" s="101"/>
      <c r="K613" s="101"/>
      <c r="L613" s="101"/>
      <c r="M613" s="101"/>
      <c r="N613" s="101"/>
      <c r="O613" s="101"/>
      <c r="P613" s="101"/>
      <c r="Q613" s="101"/>
      <c r="R613" s="101"/>
      <c r="S613" s="101"/>
      <c r="T613" s="101"/>
      <c r="U613" s="101"/>
      <c r="V613" s="101"/>
      <c r="W613" s="101"/>
      <c r="X613" s="101"/>
      <c r="Y613" s="101"/>
      <c r="Z613" s="101"/>
      <c r="AA613" s="101"/>
      <c r="AB613" s="101"/>
      <c r="AC613" s="101"/>
      <c r="AD613" s="101"/>
      <c r="AE613" s="101"/>
      <c r="AF613" s="101"/>
      <c r="AG613" s="101"/>
      <c r="AH613" s="101"/>
      <c r="AI613" s="101"/>
      <c r="AJ613" s="101"/>
      <c r="AK613" s="101"/>
      <c r="AL613" s="101"/>
      <c r="AM613" s="101"/>
      <c r="AN613" s="101"/>
      <c r="AO613" s="101"/>
    </row>
    <row r="614" spans="1:41">
      <c r="A614" s="115"/>
      <c r="B614" s="116"/>
      <c r="C614" s="117"/>
      <c r="D614" s="116"/>
      <c r="E614" s="101"/>
      <c r="F614" s="101"/>
      <c r="G614" s="101"/>
      <c r="H614" s="101"/>
      <c r="I614" s="101"/>
      <c r="J614" s="101"/>
      <c r="K614" s="101"/>
      <c r="L614" s="101"/>
      <c r="M614" s="101"/>
      <c r="N614" s="101"/>
      <c r="O614" s="101"/>
      <c r="P614" s="101"/>
      <c r="Q614" s="101"/>
      <c r="R614" s="101"/>
      <c r="S614" s="101"/>
      <c r="T614" s="101"/>
      <c r="U614" s="101"/>
      <c r="V614" s="101"/>
      <c r="W614" s="101"/>
      <c r="X614" s="101"/>
      <c r="Y614" s="101"/>
      <c r="Z614" s="101"/>
      <c r="AA614" s="101"/>
      <c r="AB614" s="101"/>
      <c r="AC614" s="101"/>
      <c r="AD614" s="101"/>
      <c r="AE614" s="101"/>
      <c r="AF614" s="101"/>
      <c r="AG614" s="101"/>
      <c r="AH614" s="101"/>
      <c r="AI614" s="101"/>
      <c r="AJ614" s="101"/>
      <c r="AK614" s="101"/>
      <c r="AL614" s="101"/>
      <c r="AM614" s="101"/>
      <c r="AN614" s="101"/>
      <c r="AO614" s="101"/>
    </row>
    <row r="615" spans="1:41">
      <c r="A615" s="115"/>
      <c r="B615" s="116"/>
      <c r="C615" s="117"/>
      <c r="D615" s="116"/>
      <c r="E615" s="101"/>
      <c r="F615" s="101"/>
      <c r="G615" s="101"/>
      <c r="H615" s="101"/>
      <c r="I615" s="101"/>
      <c r="J615" s="101"/>
      <c r="K615" s="101"/>
      <c r="L615" s="101"/>
      <c r="M615" s="101"/>
      <c r="N615" s="101"/>
      <c r="O615" s="101"/>
      <c r="P615" s="101"/>
      <c r="Q615" s="101"/>
      <c r="R615" s="101"/>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row>
    <row r="616" spans="1:41">
      <c r="A616" s="115"/>
      <c r="B616" s="116"/>
      <c r="C616" s="117"/>
      <c r="D616" s="116"/>
      <c r="E616" s="101"/>
      <c r="F616" s="101"/>
      <c r="G616" s="101"/>
      <c r="H616" s="101"/>
      <c r="I616" s="101"/>
      <c r="J616" s="101"/>
      <c r="K616" s="101"/>
      <c r="L616" s="101"/>
      <c r="M616" s="101"/>
      <c r="N616" s="101"/>
      <c r="O616" s="101"/>
      <c r="P616" s="101"/>
      <c r="Q616" s="101"/>
      <c r="R616" s="101"/>
      <c r="S616" s="101"/>
      <c r="T616" s="101"/>
      <c r="U616" s="101"/>
      <c r="V616" s="101"/>
      <c r="W616" s="101"/>
      <c r="X616" s="101"/>
      <c r="Y616" s="101"/>
      <c r="Z616" s="101"/>
      <c r="AA616" s="101"/>
      <c r="AB616" s="101"/>
      <c r="AC616" s="101"/>
      <c r="AD616" s="101"/>
      <c r="AE616" s="101"/>
      <c r="AF616" s="101"/>
      <c r="AG616" s="101"/>
      <c r="AH616" s="101"/>
      <c r="AI616" s="101"/>
      <c r="AJ616" s="101"/>
      <c r="AK616" s="101"/>
      <c r="AL616" s="101"/>
      <c r="AM616" s="101"/>
      <c r="AN616" s="101"/>
      <c r="AO616" s="101"/>
    </row>
    <row r="617" spans="1:41">
      <c r="A617" s="115"/>
      <c r="B617" s="116"/>
      <c r="C617" s="117"/>
      <c r="D617" s="116"/>
      <c r="E617" s="101"/>
      <c r="F617" s="101"/>
      <c r="G617" s="101"/>
      <c r="H617" s="101"/>
      <c r="I617" s="101"/>
      <c r="J617" s="101"/>
      <c r="K617" s="101"/>
      <c r="L617" s="101"/>
      <c r="M617" s="101"/>
      <c r="N617" s="101"/>
      <c r="O617" s="101"/>
      <c r="P617" s="101"/>
      <c r="Q617" s="101"/>
      <c r="R617" s="101"/>
      <c r="S617" s="101"/>
      <c r="T617" s="101"/>
      <c r="U617" s="101"/>
      <c r="V617" s="101"/>
      <c r="W617" s="101"/>
      <c r="X617" s="101"/>
      <c r="Y617" s="101"/>
      <c r="Z617" s="101"/>
      <c r="AA617" s="101"/>
      <c r="AB617" s="101"/>
      <c r="AC617" s="101"/>
      <c r="AD617" s="101"/>
      <c r="AE617" s="101"/>
      <c r="AF617" s="101"/>
      <c r="AG617" s="101"/>
      <c r="AH617" s="101"/>
      <c r="AI617" s="101"/>
      <c r="AJ617" s="101"/>
      <c r="AK617" s="101"/>
      <c r="AL617" s="101"/>
      <c r="AM617" s="101"/>
      <c r="AN617" s="101"/>
      <c r="AO617" s="101"/>
    </row>
    <row r="618" spans="1:41">
      <c r="A618" s="115"/>
      <c r="B618" s="116"/>
      <c r="C618" s="117"/>
      <c r="D618" s="116"/>
      <c r="E618" s="101"/>
      <c r="F618" s="101"/>
      <c r="G618" s="101"/>
      <c r="H618" s="101"/>
      <c r="I618" s="101"/>
      <c r="J618" s="101"/>
      <c r="K618" s="101"/>
      <c r="L618" s="101"/>
      <c r="M618" s="101"/>
      <c r="N618" s="101"/>
      <c r="O618" s="101"/>
      <c r="P618" s="101"/>
      <c r="Q618" s="101"/>
      <c r="R618" s="101"/>
      <c r="S618" s="101"/>
      <c r="T618" s="101"/>
      <c r="U618" s="101"/>
      <c r="V618" s="101"/>
      <c r="W618" s="101"/>
      <c r="X618" s="101"/>
      <c r="Y618" s="101"/>
      <c r="Z618" s="101"/>
      <c r="AA618" s="101"/>
      <c r="AB618" s="101"/>
      <c r="AC618" s="101"/>
      <c r="AD618" s="101"/>
      <c r="AE618" s="101"/>
      <c r="AF618" s="101"/>
      <c r="AG618" s="101"/>
      <c r="AH618" s="101"/>
      <c r="AI618" s="101"/>
      <c r="AJ618" s="101"/>
      <c r="AK618" s="101"/>
      <c r="AL618" s="101"/>
      <c r="AM618" s="101"/>
      <c r="AN618" s="101"/>
      <c r="AO618" s="101"/>
    </row>
    <row r="619" spans="1:41">
      <c r="A619" s="115"/>
      <c r="B619" s="116"/>
      <c r="C619" s="117"/>
      <c r="D619" s="116"/>
      <c r="E619" s="101"/>
      <c r="F619" s="101"/>
      <c r="G619" s="101"/>
      <c r="H619" s="101"/>
      <c r="I619" s="101"/>
      <c r="J619" s="101"/>
      <c r="K619" s="101"/>
      <c r="L619" s="101"/>
      <c r="M619" s="101"/>
      <c r="N619" s="101"/>
      <c r="O619" s="101"/>
      <c r="P619" s="101"/>
      <c r="Q619" s="101"/>
      <c r="R619" s="101"/>
      <c r="S619" s="101"/>
      <c r="T619" s="101"/>
      <c r="U619" s="101"/>
      <c r="V619" s="101"/>
      <c r="W619" s="101"/>
      <c r="X619" s="101"/>
      <c r="Y619" s="101"/>
      <c r="Z619" s="101"/>
      <c r="AA619" s="101"/>
      <c r="AB619" s="101"/>
      <c r="AC619" s="101"/>
      <c r="AD619" s="101"/>
      <c r="AE619" s="101"/>
      <c r="AF619" s="101"/>
      <c r="AG619" s="101"/>
      <c r="AH619" s="101"/>
      <c r="AI619" s="101"/>
      <c r="AJ619" s="101"/>
      <c r="AK619" s="101"/>
      <c r="AL619" s="101"/>
      <c r="AM619" s="101"/>
      <c r="AN619" s="101"/>
      <c r="AO619" s="101"/>
    </row>
    <row r="620" spans="1:41">
      <c r="A620" s="115"/>
      <c r="B620" s="116"/>
      <c r="C620" s="117"/>
      <c r="D620" s="116"/>
      <c r="E620" s="101"/>
      <c r="F620" s="101"/>
      <c r="G620" s="101"/>
      <c r="H620" s="101"/>
      <c r="I620" s="101"/>
      <c r="J620" s="101"/>
      <c r="K620" s="101"/>
      <c r="L620" s="101"/>
      <c r="M620" s="101"/>
      <c r="N620" s="101"/>
      <c r="O620" s="101"/>
      <c r="P620" s="101"/>
      <c r="Q620" s="101"/>
      <c r="R620" s="101"/>
      <c r="S620" s="101"/>
      <c r="T620" s="101"/>
      <c r="U620" s="101"/>
      <c r="V620" s="101"/>
      <c r="W620" s="101"/>
      <c r="X620" s="101"/>
      <c r="Y620" s="101"/>
      <c r="Z620" s="101"/>
      <c r="AA620" s="101"/>
      <c r="AB620" s="101"/>
      <c r="AC620" s="101"/>
      <c r="AD620" s="101"/>
      <c r="AE620" s="101"/>
      <c r="AF620" s="101"/>
      <c r="AG620" s="101"/>
      <c r="AH620" s="101"/>
      <c r="AI620" s="101"/>
      <c r="AJ620" s="101"/>
      <c r="AK620" s="101"/>
      <c r="AL620" s="101"/>
      <c r="AM620" s="101"/>
      <c r="AN620" s="101"/>
      <c r="AO620" s="101"/>
    </row>
    <row r="621" spans="1:41">
      <c r="A621" s="115"/>
      <c r="B621" s="116"/>
      <c r="C621" s="117"/>
      <c r="D621" s="116"/>
      <c r="E621" s="101"/>
      <c r="F621" s="101"/>
      <c r="G621" s="101"/>
      <c r="H621" s="101"/>
      <c r="I621" s="101"/>
      <c r="J621" s="101"/>
      <c r="K621" s="101"/>
      <c r="L621" s="101"/>
      <c r="M621" s="101"/>
      <c r="N621" s="101"/>
      <c r="O621" s="101"/>
      <c r="P621" s="101"/>
      <c r="Q621" s="101"/>
      <c r="R621" s="101"/>
      <c r="S621" s="101"/>
      <c r="T621" s="101"/>
      <c r="U621" s="101"/>
      <c r="V621" s="101"/>
      <c r="W621" s="101"/>
      <c r="X621" s="101"/>
      <c r="Y621" s="101"/>
      <c r="Z621" s="101"/>
      <c r="AA621" s="101"/>
      <c r="AB621" s="101"/>
      <c r="AC621" s="101"/>
      <c r="AD621" s="101"/>
      <c r="AE621" s="101"/>
      <c r="AF621" s="101"/>
      <c r="AG621" s="101"/>
      <c r="AH621" s="101"/>
      <c r="AI621" s="101"/>
      <c r="AJ621" s="101"/>
      <c r="AK621" s="101"/>
      <c r="AL621" s="101"/>
      <c r="AM621" s="101"/>
      <c r="AN621" s="101"/>
      <c r="AO621" s="101"/>
    </row>
    <row r="622" spans="1:41">
      <c r="A622" s="115"/>
      <c r="B622" s="116"/>
      <c r="C622" s="117"/>
      <c r="D622" s="116"/>
      <c r="E622" s="101"/>
      <c r="F622" s="101"/>
      <c r="G622" s="101"/>
      <c r="H622" s="101"/>
      <c r="I622" s="101"/>
      <c r="J622" s="101"/>
      <c r="K622" s="101"/>
      <c r="L622" s="101"/>
      <c r="M622" s="101"/>
      <c r="N622" s="101"/>
      <c r="O622" s="101"/>
      <c r="P622" s="101"/>
      <c r="Q622" s="101"/>
      <c r="R622" s="101"/>
      <c r="S622" s="101"/>
      <c r="T622" s="101"/>
      <c r="U622" s="101"/>
      <c r="V622" s="101"/>
      <c r="W622" s="101"/>
      <c r="X622" s="101"/>
      <c r="Y622" s="101"/>
      <c r="Z622" s="101"/>
      <c r="AA622" s="101"/>
      <c r="AB622" s="101"/>
      <c r="AC622" s="101"/>
      <c r="AD622" s="101"/>
      <c r="AE622" s="101"/>
      <c r="AF622" s="101"/>
      <c r="AG622" s="101"/>
      <c r="AH622" s="101"/>
      <c r="AI622" s="101"/>
      <c r="AJ622" s="101"/>
      <c r="AK622" s="101"/>
      <c r="AL622" s="101"/>
      <c r="AM622" s="101"/>
      <c r="AN622" s="101"/>
      <c r="AO622" s="101"/>
    </row>
    <row r="623" spans="1:41">
      <c r="A623" s="115"/>
      <c r="B623" s="116"/>
      <c r="C623" s="117"/>
      <c r="D623" s="116"/>
      <c r="E623" s="101"/>
      <c r="F623" s="101"/>
      <c r="G623" s="101"/>
      <c r="H623" s="101"/>
      <c r="I623" s="101"/>
      <c r="J623" s="101"/>
      <c r="K623" s="101"/>
      <c r="L623" s="101"/>
      <c r="M623" s="101"/>
      <c r="N623" s="101"/>
      <c r="O623" s="101"/>
      <c r="P623" s="101"/>
      <c r="Q623" s="101"/>
      <c r="R623" s="101"/>
      <c r="S623" s="101"/>
      <c r="T623" s="101"/>
      <c r="U623" s="101"/>
      <c r="V623" s="101"/>
      <c r="W623" s="101"/>
      <c r="X623" s="101"/>
      <c r="Y623" s="101"/>
      <c r="Z623" s="101"/>
      <c r="AA623" s="101"/>
      <c r="AB623" s="101"/>
      <c r="AC623" s="101"/>
      <c r="AD623" s="101"/>
      <c r="AE623" s="101"/>
      <c r="AF623" s="101"/>
      <c r="AG623" s="101"/>
      <c r="AH623" s="101"/>
      <c r="AI623" s="101"/>
      <c r="AJ623" s="101"/>
      <c r="AK623" s="101"/>
      <c r="AL623" s="101"/>
      <c r="AM623" s="101"/>
      <c r="AN623" s="101"/>
      <c r="AO623" s="101"/>
    </row>
    <row r="624" spans="1:41">
      <c r="A624" s="115"/>
      <c r="B624" s="116"/>
      <c r="C624" s="117"/>
      <c r="D624" s="116"/>
      <c r="E624" s="101"/>
      <c r="F624" s="101"/>
      <c r="G624" s="101"/>
      <c r="H624" s="101"/>
      <c r="I624" s="101"/>
      <c r="J624" s="101"/>
      <c r="K624" s="101"/>
      <c r="L624" s="101"/>
      <c r="M624" s="101"/>
      <c r="N624" s="101"/>
      <c r="O624" s="101"/>
      <c r="P624" s="101"/>
      <c r="Q624" s="101"/>
      <c r="R624" s="101"/>
      <c r="S624" s="101"/>
      <c r="T624" s="101"/>
      <c r="U624" s="101"/>
      <c r="V624" s="101"/>
      <c r="W624" s="101"/>
      <c r="X624" s="101"/>
      <c r="Y624" s="101"/>
      <c r="Z624" s="101"/>
      <c r="AA624" s="101"/>
      <c r="AB624" s="101"/>
      <c r="AC624" s="101"/>
      <c r="AD624" s="101"/>
      <c r="AE624" s="101"/>
      <c r="AF624" s="101"/>
      <c r="AG624" s="101"/>
      <c r="AH624" s="101"/>
      <c r="AI624" s="101"/>
      <c r="AJ624" s="101"/>
      <c r="AK624" s="101"/>
      <c r="AL624" s="101"/>
      <c r="AM624" s="101"/>
      <c r="AN624" s="101"/>
      <c r="AO624" s="101"/>
    </row>
    <row r="625" spans="1:41">
      <c r="A625" s="115"/>
      <c r="B625" s="116"/>
      <c r="C625" s="117"/>
      <c r="D625" s="116"/>
      <c r="E625" s="101"/>
      <c r="F625" s="101"/>
      <c r="G625" s="101"/>
      <c r="H625" s="101"/>
      <c r="I625" s="101"/>
      <c r="J625" s="101"/>
      <c r="K625" s="101"/>
      <c r="L625" s="101"/>
      <c r="M625" s="101"/>
      <c r="N625" s="101"/>
      <c r="O625" s="101"/>
      <c r="P625" s="101"/>
      <c r="Q625" s="101"/>
      <c r="R625" s="101"/>
      <c r="S625" s="101"/>
      <c r="T625" s="101"/>
      <c r="U625" s="101"/>
      <c r="V625" s="101"/>
      <c r="W625" s="101"/>
      <c r="X625" s="101"/>
      <c r="Y625" s="101"/>
      <c r="Z625" s="101"/>
      <c r="AA625" s="101"/>
      <c r="AB625" s="101"/>
      <c r="AC625" s="101"/>
      <c r="AD625" s="101"/>
      <c r="AE625" s="101"/>
      <c r="AF625" s="101"/>
      <c r="AG625" s="101"/>
      <c r="AH625" s="101"/>
      <c r="AI625" s="101"/>
      <c r="AJ625" s="101"/>
      <c r="AK625" s="101"/>
      <c r="AL625" s="101"/>
      <c r="AM625" s="101"/>
      <c r="AN625" s="101"/>
      <c r="AO625" s="101"/>
    </row>
    <row r="626" spans="1:41">
      <c r="A626" s="115"/>
      <c r="B626" s="116"/>
      <c r="C626" s="117"/>
      <c r="D626" s="116"/>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c r="AJ626" s="101"/>
      <c r="AK626" s="101"/>
      <c r="AL626" s="101"/>
      <c r="AM626" s="101"/>
      <c r="AN626" s="101"/>
      <c r="AO626" s="101"/>
    </row>
    <row r="627" spans="1:41">
      <c r="A627" s="115"/>
      <c r="B627" s="116"/>
      <c r="C627" s="117"/>
      <c r="D627" s="116"/>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c r="AJ627" s="101"/>
      <c r="AK627" s="101"/>
      <c r="AL627" s="101"/>
      <c r="AM627" s="101"/>
      <c r="AN627" s="101"/>
      <c r="AO627" s="101"/>
    </row>
    <row r="628" spans="1:41">
      <c r="A628" s="115"/>
      <c r="B628" s="116"/>
      <c r="C628" s="117"/>
      <c r="D628" s="116"/>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c r="AJ628" s="101"/>
      <c r="AK628" s="101"/>
      <c r="AL628" s="101"/>
      <c r="AM628" s="101"/>
      <c r="AN628" s="101"/>
      <c r="AO628" s="101"/>
    </row>
    <row r="629" spans="1:41">
      <c r="A629" s="115"/>
      <c r="B629" s="116"/>
      <c r="C629" s="117"/>
      <c r="D629" s="116"/>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c r="AJ629" s="101"/>
      <c r="AK629" s="101"/>
      <c r="AL629" s="101"/>
      <c r="AM629" s="101"/>
      <c r="AN629" s="101"/>
      <c r="AO629" s="101"/>
    </row>
    <row r="630" spans="1:41">
      <c r="A630" s="115"/>
      <c r="B630" s="116"/>
      <c r="C630" s="117"/>
      <c r="D630" s="116"/>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c r="AJ630" s="101"/>
      <c r="AK630" s="101"/>
      <c r="AL630" s="101"/>
      <c r="AM630" s="101"/>
      <c r="AN630" s="101"/>
      <c r="AO630" s="101"/>
    </row>
    <row r="631" spans="1:41">
      <c r="A631" s="115"/>
      <c r="B631" s="116"/>
      <c r="C631" s="117"/>
      <c r="D631" s="116"/>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c r="AJ631" s="101"/>
      <c r="AK631" s="101"/>
      <c r="AL631" s="101"/>
      <c r="AM631" s="101"/>
      <c r="AN631" s="101"/>
      <c r="AO631" s="101"/>
    </row>
    <row r="632" spans="1:41">
      <c r="A632" s="115"/>
      <c r="B632" s="116"/>
      <c r="C632" s="117"/>
      <c r="D632" s="116"/>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row>
    <row r="633" spans="1:41">
      <c r="A633" s="115"/>
      <c r="B633" s="116"/>
      <c r="C633" s="117"/>
      <c r="D633" s="116"/>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c r="AJ633" s="101"/>
      <c r="AK633" s="101"/>
      <c r="AL633" s="101"/>
      <c r="AM633" s="101"/>
      <c r="AN633" s="101"/>
      <c r="AO633" s="101"/>
    </row>
    <row r="634" spans="1:41">
      <c r="A634" s="115"/>
      <c r="B634" s="116"/>
      <c r="C634" s="117"/>
      <c r="D634" s="116"/>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c r="AJ634" s="101"/>
      <c r="AK634" s="101"/>
      <c r="AL634" s="101"/>
      <c r="AM634" s="101"/>
      <c r="AN634" s="101"/>
      <c r="AO634" s="101"/>
    </row>
    <row r="635" spans="1:41">
      <c r="A635" s="115"/>
      <c r="B635" s="116"/>
      <c r="C635" s="117"/>
      <c r="D635" s="116"/>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c r="AJ635" s="101"/>
      <c r="AK635" s="101"/>
      <c r="AL635" s="101"/>
      <c r="AM635" s="101"/>
      <c r="AN635" s="101"/>
      <c r="AO635" s="101"/>
    </row>
    <row r="636" spans="1:41">
      <c r="A636" s="115"/>
      <c r="B636" s="116"/>
      <c r="C636" s="117"/>
      <c r="D636" s="116"/>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c r="AJ636" s="101"/>
      <c r="AK636" s="101"/>
      <c r="AL636" s="101"/>
      <c r="AM636" s="101"/>
      <c r="AN636" s="101"/>
      <c r="AO636" s="101"/>
    </row>
    <row r="637" spans="1:41">
      <c r="A637" s="115"/>
      <c r="B637" s="116"/>
      <c r="C637" s="117"/>
      <c r="D637" s="116"/>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c r="AJ637" s="101"/>
      <c r="AK637" s="101"/>
      <c r="AL637" s="101"/>
      <c r="AM637" s="101"/>
      <c r="AN637" s="101"/>
      <c r="AO637" s="101"/>
    </row>
    <row r="638" spans="1:41">
      <c r="A638" s="115"/>
      <c r="B638" s="116"/>
      <c r="C638" s="117"/>
      <c r="D638" s="116"/>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c r="AJ638" s="101"/>
      <c r="AK638" s="101"/>
      <c r="AL638" s="101"/>
      <c r="AM638" s="101"/>
      <c r="AN638" s="101"/>
      <c r="AO638" s="101"/>
    </row>
    <row r="639" spans="1:41">
      <c r="A639" s="115"/>
      <c r="B639" s="116"/>
      <c r="C639" s="117"/>
      <c r="D639" s="116"/>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c r="AJ639" s="101"/>
      <c r="AK639" s="101"/>
      <c r="AL639" s="101"/>
      <c r="AM639" s="101"/>
      <c r="AN639" s="101"/>
      <c r="AO639" s="101"/>
    </row>
    <row r="640" spans="1:41">
      <c r="A640" s="115"/>
      <c r="B640" s="116"/>
      <c r="C640" s="117"/>
      <c r="D640" s="116"/>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c r="AJ640" s="101"/>
      <c r="AK640" s="101"/>
      <c r="AL640" s="101"/>
      <c r="AM640" s="101"/>
      <c r="AN640" s="101"/>
      <c r="AO640" s="101"/>
    </row>
    <row r="641" spans="1:41">
      <c r="A641" s="115"/>
      <c r="B641" s="116"/>
      <c r="C641" s="117"/>
      <c r="D641" s="116"/>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c r="AJ641" s="101"/>
      <c r="AK641" s="101"/>
      <c r="AL641" s="101"/>
      <c r="AM641" s="101"/>
      <c r="AN641" s="101"/>
      <c r="AO641" s="101"/>
    </row>
    <row r="642" spans="1:41">
      <c r="A642" s="115"/>
      <c r="B642" s="116"/>
      <c r="C642" s="117"/>
      <c r="D642" s="116"/>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c r="AJ642" s="101"/>
      <c r="AK642" s="101"/>
      <c r="AL642" s="101"/>
      <c r="AM642" s="101"/>
      <c r="AN642" s="101"/>
      <c r="AO642" s="101"/>
    </row>
    <row r="643" spans="1:41">
      <c r="A643" s="115"/>
      <c r="B643" s="116"/>
      <c r="C643" s="117"/>
      <c r="D643" s="116"/>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c r="AJ643" s="101"/>
      <c r="AK643" s="101"/>
      <c r="AL643" s="101"/>
      <c r="AM643" s="101"/>
      <c r="AN643" s="101"/>
      <c r="AO643" s="101"/>
    </row>
    <row r="644" spans="1:41">
      <c r="A644" s="115"/>
      <c r="B644" s="116"/>
      <c r="C644" s="117"/>
      <c r="D644" s="116"/>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c r="AJ644" s="101"/>
      <c r="AK644" s="101"/>
      <c r="AL644" s="101"/>
      <c r="AM644" s="101"/>
      <c r="AN644" s="101"/>
      <c r="AO644" s="101"/>
    </row>
    <row r="645" spans="1:41">
      <c r="A645" s="115"/>
      <c r="B645" s="116"/>
      <c r="C645" s="117"/>
      <c r="D645" s="116"/>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c r="AJ645" s="101"/>
      <c r="AK645" s="101"/>
      <c r="AL645" s="101"/>
      <c r="AM645" s="101"/>
      <c r="AN645" s="101"/>
      <c r="AO645" s="101"/>
    </row>
    <row r="646" spans="1:41">
      <c r="A646" s="115"/>
      <c r="B646" s="116"/>
      <c r="C646" s="117"/>
      <c r="D646" s="116"/>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c r="AJ646" s="101"/>
      <c r="AK646" s="101"/>
      <c r="AL646" s="101"/>
      <c r="AM646" s="101"/>
      <c r="AN646" s="101"/>
      <c r="AO646" s="101"/>
    </row>
    <row r="647" spans="1:41">
      <c r="A647" s="115"/>
      <c r="B647" s="116"/>
      <c r="C647" s="117"/>
      <c r="D647" s="116"/>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c r="AJ647" s="101"/>
      <c r="AK647" s="101"/>
      <c r="AL647" s="101"/>
      <c r="AM647" s="101"/>
      <c r="AN647" s="101"/>
      <c r="AO647" s="101"/>
    </row>
    <row r="648" spans="1:41">
      <c r="A648" s="115"/>
      <c r="B648" s="116"/>
      <c r="C648" s="117"/>
      <c r="D648" s="116"/>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c r="AJ648" s="101"/>
      <c r="AK648" s="101"/>
      <c r="AL648" s="101"/>
      <c r="AM648" s="101"/>
      <c r="AN648" s="101"/>
      <c r="AO648" s="101"/>
    </row>
    <row r="649" spans="1:41">
      <c r="A649" s="115"/>
      <c r="B649" s="116"/>
      <c r="C649" s="117"/>
      <c r="D649" s="116"/>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row>
    <row r="650" spans="1:41">
      <c r="A650" s="115"/>
      <c r="B650" s="116"/>
      <c r="C650" s="117"/>
      <c r="D650" s="116"/>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c r="AJ650" s="101"/>
      <c r="AK650" s="101"/>
      <c r="AL650" s="101"/>
      <c r="AM650" s="101"/>
      <c r="AN650" s="101"/>
      <c r="AO650" s="101"/>
    </row>
    <row r="651" spans="1:41">
      <c r="A651" s="115"/>
      <c r="B651" s="116"/>
      <c r="C651" s="117"/>
      <c r="D651" s="116"/>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c r="AJ651" s="101"/>
      <c r="AK651" s="101"/>
      <c r="AL651" s="101"/>
      <c r="AM651" s="101"/>
      <c r="AN651" s="101"/>
      <c r="AO651" s="101"/>
    </row>
    <row r="652" spans="1:41">
      <c r="A652" s="115"/>
      <c r="B652" s="116"/>
      <c r="C652" s="117"/>
      <c r="D652" s="116"/>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c r="AJ652" s="101"/>
      <c r="AK652" s="101"/>
      <c r="AL652" s="101"/>
      <c r="AM652" s="101"/>
      <c r="AN652" s="101"/>
      <c r="AO652" s="101"/>
    </row>
    <row r="653" spans="1:41">
      <c r="A653" s="115"/>
      <c r="B653" s="116"/>
      <c r="C653" s="117"/>
      <c r="D653" s="116"/>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c r="AJ653" s="101"/>
      <c r="AK653" s="101"/>
      <c r="AL653" s="101"/>
      <c r="AM653" s="101"/>
      <c r="AN653" s="101"/>
      <c r="AO653" s="101"/>
    </row>
    <row r="654" spans="1:41">
      <c r="A654" s="115"/>
      <c r="B654" s="116"/>
      <c r="C654" s="117"/>
      <c r="D654" s="116"/>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c r="AJ654" s="101"/>
      <c r="AK654" s="101"/>
      <c r="AL654" s="101"/>
      <c r="AM654" s="101"/>
      <c r="AN654" s="101"/>
      <c r="AO654" s="101"/>
    </row>
    <row r="655" spans="1:41">
      <c r="A655" s="115"/>
      <c r="B655" s="116"/>
      <c r="C655" s="117"/>
      <c r="D655" s="116"/>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c r="AJ655" s="101"/>
      <c r="AK655" s="101"/>
      <c r="AL655" s="101"/>
      <c r="AM655" s="101"/>
      <c r="AN655" s="101"/>
      <c r="AO655" s="101"/>
    </row>
    <row r="656" spans="1:41">
      <c r="A656" s="115"/>
      <c r="B656" s="116"/>
      <c r="C656" s="117"/>
      <c r="D656" s="116"/>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c r="AJ656" s="101"/>
      <c r="AK656" s="101"/>
      <c r="AL656" s="101"/>
      <c r="AM656" s="101"/>
      <c r="AN656" s="101"/>
      <c r="AO656" s="101"/>
    </row>
    <row r="657" spans="1:41">
      <c r="A657" s="115"/>
      <c r="B657" s="116"/>
      <c r="C657" s="117"/>
      <c r="D657" s="116"/>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c r="AJ657" s="101"/>
      <c r="AK657" s="101"/>
      <c r="AL657" s="101"/>
      <c r="AM657" s="101"/>
      <c r="AN657" s="101"/>
      <c r="AO657" s="101"/>
    </row>
    <row r="658" spans="1:41">
      <c r="A658" s="115"/>
      <c r="B658" s="116"/>
      <c r="C658" s="117"/>
      <c r="D658" s="116"/>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c r="AJ658" s="101"/>
      <c r="AK658" s="101"/>
      <c r="AL658" s="101"/>
      <c r="AM658" s="101"/>
      <c r="AN658" s="101"/>
      <c r="AO658" s="101"/>
    </row>
    <row r="659" spans="1:41">
      <c r="A659" s="115"/>
      <c r="B659" s="116"/>
      <c r="C659" s="117"/>
      <c r="D659" s="116"/>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c r="AJ659" s="101"/>
      <c r="AK659" s="101"/>
      <c r="AL659" s="101"/>
      <c r="AM659" s="101"/>
      <c r="AN659" s="101"/>
      <c r="AO659" s="101"/>
    </row>
    <row r="660" spans="1:41">
      <c r="A660" s="115"/>
      <c r="B660" s="116"/>
      <c r="C660" s="117"/>
      <c r="D660" s="116"/>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c r="AJ660" s="101"/>
      <c r="AK660" s="101"/>
      <c r="AL660" s="101"/>
      <c r="AM660" s="101"/>
      <c r="AN660" s="101"/>
      <c r="AO660" s="101"/>
    </row>
    <row r="661" spans="1:41">
      <c r="A661" s="115"/>
      <c r="B661" s="116"/>
      <c r="C661" s="117"/>
      <c r="D661" s="116"/>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c r="AJ661" s="101"/>
      <c r="AK661" s="101"/>
      <c r="AL661" s="101"/>
      <c r="AM661" s="101"/>
      <c r="AN661" s="101"/>
      <c r="AO661" s="101"/>
    </row>
    <row r="662" spans="1:41">
      <c r="A662" s="115"/>
      <c r="B662" s="116"/>
      <c r="C662" s="117"/>
      <c r="D662" s="116"/>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c r="AJ662" s="101"/>
      <c r="AK662" s="101"/>
      <c r="AL662" s="101"/>
      <c r="AM662" s="101"/>
      <c r="AN662" s="101"/>
      <c r="AO662" s="101"/>
    </row>
    <row r="663" spans="1:41">
      <c r="A663" s="115"/>
      <c r="B663" s="116"/>
      <c r="C663" s="117"/>
      <c r="D663" s="116"/>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c r="AJ663" s="101"/>
      <c r="AK663" s="101"/>
      <c r="AL663" s="101"/>
      <c r="AM663" s="101"/>
      <c r="AN663" s="101"/>
      <c r="AO663" s="101"/>
    </row>
    <row r="664" spans="1:41">
      <c r="A664" s="115"/>
      <c r="B664" s="116"/>
      <c r="C664" s="117"/>
      <c r="D664" s="116"/>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c r="AJ664" s="101"/>
      <c r="AK664" s="101"/>
      <c r="AL664" s="101"/>
      <c r="AM664" s="101"/>
      <c r="AN664" s="101"/>
      <c r="AO664" s="101"/>
    </row>
    <row r="665" spans="1:41">
      <c r="A665" s="115"/>
      <c r="B665" s="116"/>
      <c r="C665" s="117"/>
      <c r="D665" s="116"/>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c r="AJ665" s="101"/>
      <c r="AK665" s="101"/>
      <c r="AL665" s="101"/>
      <c r="AM665" s="101"/>
      <c r="AN665" s="101"/>
      <c r="AO665" s="101"/>
    </row>
    <row r="666" spans="1:41">
      <c r="A666" s="115"/>
      <c r="B666" s="116"/>
      <c r="C666" s="117"/>
      <c r="D666" s="116"/>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row>
    <row r="667" spans="1:41">
      <c r="A667" s="115"/>
      <c r="B667" s="116"/>
      <c r="C667" s="117"/>
      <c r="D667" s="116"/>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c r="AJ667" s="101"/>
      <c r="AK667" s="101"/>
      <c r="AL667" s="101"/>
      <c r="AM667" s="101"/>
      <c r="AN667" s="101"/>
      <c r="AO667" s="101"/>
    </row>
    <row r="668" spans="1:41">
      <c r="A668" s="115"/>
      <c r="B668" s="116"/>
      <c r="C668" s="117"/>
      <c r="D668" s="116"/>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c r="AJ668" s="101"/>
      <c r="AK668" s="101"/>
      <c r="AL668" s="101"/>
      <c r="AM668" s="101"/>
      <c r="AN668" s="101"/>
      <c r="AO668" s="101"/>
    </row>
    <row r="669" spans="1:41">
      <c r="A669" s="115"/>
      <c r="B669" s="116"/>
      <c r="C669" s="117"/>
      <c r="D669" s="116"/>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c r="AJ669" s="101"/>
      <c r="AK669" s="101"/>
      <c r="AL669" s="101"/>
      <c r="AM669" s="101"/>
      <c r="AN669" s="101"/>
      <c r="AO669" s="101"/>
    </row>
    <row r="670" spans="1:41">
      <c r="A670" s="115"/>
      <c r="B670" s="116"/>
      <c r="C670" s="117"/>
      <c r="D670" s="116"/>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c r="AJ670" s="101"/>
      <c r="AK670" s="101"/>
      <c r="AL670" s="101"/>
      <c r="AM670" s="101"/>
      <c r="AN670" s="101"/>
      <c r="AO670" s="101"/>
    </row>
    <row r="671" spans="1:41">
      <c r="A671" s="115"/>
      <c r="B671" s="116"/>
      <c r="C671" s="117"/>
      <c r="D671" s="116"/>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c r="AJ671" s="101"/>
      <c r="AK671" s="101"/>
      <c r="AL671" s="101"/>
      <c r="AM671" s="101"/>
      <c r="AN671" s="101"/>
      <c r="AO671" s="101"/>
    </row>
    <row r="672" spans="1:41">
      <c r="A672" s="115"/>
      <c r="B672" s="116"/>
      <c r="C672" s="117"/>
      <c r="D672" s="116"/>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c r="AJ672" s="101"/>
      <c r="AK672" s="101"/>
      <c r="AL672" s="101"/>
      <c r="AM672" s="101"/>
      <c r="AN672" s="101"/>
      <c r="AO672" s="101"/>
    </row>
    <row r="673" spans="1:41">
      <c r="A673" s="115"/>
      <c r="B673" s="116"/>
      <c r="C673" s="117"/>
      <c r="D673" s="116"/>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c r="AJ673" s="101"/>
      <c r="AK673" s="101"/>
      <c r="AL673" s="101"/>
      <c r="AM673" s="101"/>
      <c r="AN673" s="101"/>
      <c r="AO673" s="101"/>
    </row>
    <row r="674" spans="1:41">
      <c r="A674" s="115"/>
      <c r="B674" s="116"/>
      <c r="C674" s="117"/>
      <c r="D674" s="116"/>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c r="AJ674" s="101"/>
      <c r="AK674" s="101"/>
      <c r="AL674" s="101"/>
      <c r="AM674" s="101"/>
      <c r="AN674" s="101"/>
      <c r="AO674" s="101"/>
    </row>
    <row r="675" spans="1:41">
      <c r="A675" s="115"/>
      <c r="B675" s="116"/>
      <c r="C675" s="117"/>
      <c r="D675" s="116"/>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c r="AJ675" s="101"/>
      <c r="AK675" s="101"/>
      <c r="AL675" s="101"/>
      <c r="AM675" s="101"/>
      <c r="AN675" s="101"/>
      <c r="AO675" s="101"/>
    </row>
    <row r="676" spans="1:41">
      <c r="A676" s="115"/>
      <c r="B676" s="116"/>
      <c r="C676" s="117"/>
      <c r="D676" s="116"/>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c r="AJ676" s="101"/>
      <c r="AK676" s="101"/>
      <c r="AL676" s="101"/>
      <c r="AM676" s="101"/>
      <c r="AN676" s="101"/>
      <c r="AO676" s="101"/>
    </row>
    <row r="677" spans="1:41">
      <c r="A677" s="115"/>
      <c r="B677" s="116"/>
      <c r="C677" s="117"/>
      <c r="D677" s="116"/>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c r="AJ677" s="101"/>
      <c r="AK677" s="101"/>
      <c r="AL677" s="101"/>
      <c r="AM677" s="101"/>
      <c r="AN677" s="101"/>
      <c r="AO677" s="101"/>
    </row>
    <row r="678" spans="1:41">
      <c r="A678" s="115"/>
      <c r="B678" s="116"/>
      <c r="C678" s="117"/>
      <c r="D678" s="116"/>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c r="AJ678" s="101"/>
      <c r="AK678" s="101"/>
      <c r="AL678" s="101"/>
      <c r="AM678" s="101"/>
      <c r="AN678" s="101"/>
      <c r="AO678" s="101"/>
    </row>
    <row r="679" spans="1:41">
      <c r="A679" s="115"/>
      <c r="B679" s="116"/>
      <c r="C679" s="117"/>
      <c r="D679" s="116"/>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c r="AJ679" s="101"/>
      <c r="AK679" s="101"/>
      <c r="AL679" s="101"/>
      <c r="AM679" s="101"/>
      <c r="AN679" s="101"/>
      <c r="AO679" s="101"/>
    </row>
    <row r="680" spans="1:41">
      <c r="A680" s="115"/>
      <c r="B680" s="116"/>
      <c r="C680" s="117"/>
      <c r="D680" s="116"/>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c r="AJ680" s="101"/>
      <c r="AK680" s="101"/>
      <c r="AL680" s="101"/>
      <c r="AM680" s="101"/>
      <c r="AN680" s="101"/>
      <c r="AO680" s="101"/>
    </row>
    <row r="681" spans="1:41">
      <c r="A681" s="115"/>
      <c r="B681" s="116"/>
      <c r="C681" s="117"/>
      <c r="D681" s="116"/>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c r="AJ681" s="101"/>
      <c r="AK681" s="101"/>
      <c r="AL681" s="101"/>
      <c r="AM681" s="101"/>
      <c r="AN681" s="101"/>
      <c r="AO681" s="101"/>
    </row>
    <row r="682" spans="1:41">
      <c r="A682" s="115"/>
      <c r="B682" s="116"/>
      <c r="C682" s="117"/>
      <c r="D682" s="116"/>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c r="AJ682" s="101"/>
      <c r="AK682" s="101"/>
      <c r="AL682" s="101"/>
      <c r="AM682" s="101"/>
      <c r="AN682" s="101"/>
      <c r="AO682" s="101"/>
    </row>
    <row r="683" spans="1:41">
      <c r="A683" s="115"/>
      <c r="B683" s="116"/>
      <c r="C683" s="117"/>
      <c r="D683" s="116"/>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row>
    <row r="684" spans="1:41">
      <c r="A684" s="115"/>
      <c r="B684" s="116"/>
      <c r="C684" s="117"/>
      <c r="D684" s="116"/>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c r="AJ684" s="101"/>
      <c r="AK684" s="101"/>
      <c r="AL684" s="101"/>
      <c r="AM684" s="101"/>
      <c r="AN684" s="101"/>
      <c r="AO684" s="101"/>
    </row>
    <row r="685" spans="1:41">
      <c r="A685" s="115"/>
      <c r="B685" s="116"/>
      <c r="C685" s="117"/>
      <c r="D685" s="116"/>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c r="AJ685" s="101"/>
      <c r="AK685" s="101"/>
      <c r="AL685" s="101"/>
      <c r="AM685" s="101"/>
      <c r="AN685" s="101"/>
      <c r="AO685" s="101"/>
    </row>
    <row r="686" spans="1:41">
      <c r="A686" s="115"/>
      <c r="B686" s="116"/>
      <c r="C686" s="117"/>
      <c r="D686" s="116"/>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c r="AJ686" s="101"/>
      <c r="AK686" s="101"/>
      <c r="AL686" s="101"/>
      <c r="AM686" s="101"/>
      <c r="AN686" s="101"/>
      <c r="AO686" s="101"/>
    </row>
    <row r="687" spans="1:41">
      <c r="A687" s="115"/>
      <c r="B687" s="116"/>
      <c r="C687" s="117"/>
      <c r="D687" s="116"/>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c r="AJ687" s="101"/>
      <c r="AK687" s="101"/>
      <c r="AL687" s="101"/>
      <c r="AM687" s="101"/>
      <c r="AN687" s="101"/>
      <c r="AO687" s="101"/>
    </row>
    <row r="688" spans="1:41">
      <c r="A688" s="115"/>
      <c r="B688" s="116"/>
      <c r="C688" s="117"/>
      <c r="D688" s="116"/>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c r="AJ688" s="101"/>
      <c r="AK688" s="101"/>
      <c r="AL688" s="101"/>
      <c r="AM688" s="101"/>
      <c r="AN688" s="101"/>
      <c r="AO688" s="101"/>
    </row>
    <row r="689" spans="1:41">
      <c r="A689" s="115"/>
      <c r="B689" s="116"/>
      <c r="C689" s="117"/>
      <c r="D689" s="116"/>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c r="AJ689" s="101"/>
      <c r="AK689" s="101"/>
      <c r="AL689" s="101"/>
      <c r="AM689" s="101"/>
      <c r="AN689" s="101"/>
      <c r="AO689" s="101"/>
    </row>
    <row r="690" spans="1:41">
      <c r="A690" s="115"/>
      <c r="B690" s="116"/>
      <c r="C690" s="117"/>
      <c r="D690" s="116"/>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c r="AJ690" s="101"/>
      <c r="AK690" s="101"/>
      <c r="AL690" s="101"/>
      <c r="AM690" s="101"/>
      <c r="AN690" s="101"/>
      <c r="AO690" s="101"/>
    </row>
    <row r="691" spans="1:41">
      <c r="A691" s="115"/>
      <c r="B691" s="116"/>
      <c r="C691" s="117"/>
      <c r="D691" s="116"/>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c r="AJ691" s="101"/>
      <c r="AK691" s="101"/>
      <c r="AL691" s="101"/>
      <c r="AM691" s="101"/>
      <c r="AN691" s="101"/>
      <c r="AO691" s="101"/>
    </row>
    <row r="692" spans="1:41">
      <c r="A692" s="115"/>
      <c r="B692" s="116"/>
      <c r="C692" s="117"/>
      <c r="D692" s="116"/>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c r="AJ692" s="101"/>
      <c r="AK692" s="101"/>
      <c r="AL692" s="101"/>
      <c r="AM692" s="101"/>
      <c r="AN692" s="101"/>
      <c r="AO692" s="101"/>
    </row>
    <row r="693" spans="1:41">
      <c r="A693" s="115"/>
      <c r="B693" s="116"/>
      <c r="C693" s="117"/>
      <c r="D693" s="116"/>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c r="AJ693" s="101"/>
      <c r="AK693" s="101"/>
      <c r="AL693" s="101"/>
      <c r="AM693" s="101"/>
      <c r="AN693" s="101"/>
      <c r="AO693" s="101"/>
    </row>
    <row r="694" spans="1:41">
      <c r="A694" s="115"/>
      <c r="B694" s="116"/>
      <c r="C694" s="117"/>
      <c r="D694" s="116"/>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c r="AJ694" s="101"/>
      <c r="AK694" s="101"/>
      <c r="AL694" s="101"/>
      <c r="AM694" s="101"/>
      <c r="AN694" s="101"/>
      <c r="AO694" s="101"/>
    </row>
    <row r="695" spans="1:41">
      <c r="A695" s="115"/>
      <c r="B695" s="116"/>
      <c r="C695" s="117"/>
      <c r="D695" s="116"/>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c r="AJ695" s="101"/>
      <c r="AK695" s="101"/>
      <c r="AL695" s="101"/>
      <c r="AM695" s="101"/>
      <c r="AN695" s="101"/>
      <c r="AO695" s="101"/>
    </row>
    <row r="696" spans="1:41">
      <c r="A696" s="115"/>
      <c r="B696" s="116"/>
      <c r="C696" s="117"/>
      <c r="D696" s="116"/>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c r="AJ696" s="101"/>
      <c r="AK696" s="101"/>
      <c r="AL696" s="101"/>
      <c r="AM696" s="101"/>
      <c r="AN696" s="101"/>
      <c r="AO696" s="101"/>
    </row>
    <row r="697" spans="1:41">
      <c r="A697" s="115"/>
      <c r="B697" s="116"/>
      <c r="C697" s="117"/>
      <c r="D697" s="116"/>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c r="AJ697" s="101"/>
      <c r="AK697" s="101"/>
      <c r="AL697" s="101"/>
      <c r="AM697" s="101"/>
      <c r="AN697" s="101"/>
      <c r="AO697" s="101"/>
    </row>
    <row r="698" spans="1:41">
      <c r="A698" s="115"/>
      <c r="B698" s="116"/>
      <c r="C698" s="117"/>
      <c r="D698" s="116"/>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c r="AJ698" s="101"/>
      <c r="AK698" s="101"/>
      <c r="AL698" s="101"/>
      <c r="AM698" s="101"/>
      <c r="AN698" s="101"/>
      <c r="AO698" s="101"/>
    </row>
    <row r="699" spans="1:41">
      <c r="A699" s="115"/>
      <c r="B699" s="116"/>
      <c r="C699" s="117"/>
      <c r="D699" s="116"/>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c r="AJ699" s="101"/>
      <c r="AK699" s="101"/>
      <c r="AL699" s="101"/>
      <c r="AM699" s="101"/>
      <c r="AN699" s="101"/>
      <c r="AO699" s="101"/>
    </row>
    <row r="700" spans="1:41">
      <c r="A700" s="115"/>
      <c r="B700" s="116"/>
      <c r="C700" s="117"/>
      <c r="D700" s="116"/>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row>
    <row r="701" spans="1:41">
      <c r="A701" s="115"/>
      <c r="B701" s="116"/>
      <c r="C701" s="117"/>
      <c r="D701" s="116"/>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c r="AJ701" s="101"/>
      <c r="AK701" s="101"/>
      <c r="AL701" s="101"/>
      <c r="AM701" s="101"/>
      <c r="AN701" s="101"/>
      <c r="AO701" s="101"/>
    </row>
    <row r="702" spans="1:41">
      <c r="A702" s="115"/>
      <c r="B702" s="116"/>
      <c r="C702" s="117"/>
      <c r="D702" s="116"/>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c r="AJ702" s="101"/>
      <c r="AK702" s="101"/>
      <c r="AL702" s="101"/>
      <c r="AM702" s="101"/>
      <c r="AN702" s="101"/>
      <c r="AO702" s="101"/>
    </row>
    <row r="703" spans="1:41">
      <c r="A703" s="115"/>
      <c r="B703" s="116"/>
      <c r="C703" s="117"/>
      <c r="D703" s="116"/>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c r="AJ703" s="101"/>
      <c r="AK703" s="101"/>
      <c r="AL703" s="101"/>
      <c r="AM703" s="101"/>
      <c r="AN703" s="101"/>
      <c r="AO703" s="101"/>
    </row>
    <row r="704" spans="1:41">
      <c r="A704" s="115"/>
      <c r="B704" s="116"/>
      <c r="C704" s="117"/>
      <c r="D704" s="116"/>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c r="AJ704" s="101"/>
      <c r="AK704" s="101"/>
      <c r="AL704" s="101"/>
      <c r="AM704" s="101"/>
      <c r="AN704" s="101"/>
      <c r="AO704" s="101"/>
    </row>
    <row r="705" spans="1:41">
      <c r="A705" s="115"/>
      <c r="B705" s="116"/>
      <c r="C705" s="117"/>
      <c r="D705" s="116"/>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c r="AJ705" s="101"/>
      <c r="AK705" s="101"/>
      <c r="AL705" s="101"/>
      <c r="AM705" s="101"/>
      <c r="AN705" s="101"/>
      <c r="AO705" s="101"/>
    </row>
    <row r="706" spans="1:41">
      <c r="A706" s="115"/>
      <c r="B706" s="116"/>
      <c r="C706" s="117"/>
      <c r="D706" s="116"/>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c r="AJ706" s="101"/>
      <c r="AK706" s="101"/>
      <c r="AL706" s="101"/>
      <c r="AM706" s="101"/>
      <c r="AN706" s="101"/>
      <c r="AO706" s="101"/>
    </row>
    <row r="707" spans="1:41">
      <c r="A707" s="115"/>
      <c r="B707" s="116"/>
      <c r="C707" s="117"/>
      <c r="D707" s="116"/>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c r="AJ707" s="101"/>
      <c r="AK707" s="101"/>
      <c r="AL707" s="101"/>
      <c r="AM707" s="101"/>
      <c r="AN707" s="101"/>
      <c r="AO707" s="101"/>
    </row>
    <row r="708" spans="1:41">
      <c r="A708" s="115"/>
      <c r="B708" s="116"/>
      <c r="C708" s="117"/>
      <c r="D708" s="116"/>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c r="AJ708" s="101"/>
      <c r="AK708" s="101"/>
      <c r="AL708" s="101"/>
      <c r="AM708" s="101"/>
      <c r="AN708" s="101"/>
      <c r="AO708" s="101"/>
    </row>
    <row r="709" spans="1:41">
      <c r="A709" s="115"/>
      <c r="B709" s="116"/>
      <c r="C709" s="117"/>
      <c r="D709" s="116"/>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c r="AJ709" s="101"/>
      <c r="AK709" s="101"/>
      <c r="AL709" s="101"/>
      <c r="AM709" s="101"/>
      <c r="AN709" s="101"/>
      <c r="AO709" s="101"/>
    </row>
    <row r="710" spans="1:41">
      <c r="A710" s="115"/>
      <c r="B710" s="116"/>
      <c r="C710" s="117"/>
      <c r="D710" s="116"/>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c r="AJ710" s="101"/>
      <c r="AK710" s="101"/>
      <c r="AL710" s="101"/>
      <c r="AM710" s="101"/>
      <c r="AN710" s="101"/>
      <c r="AO710" s="101"/>
    </row>
    <row r="711" spans="1:41">
      <c r="A711" s="115"/>
      <c r="B711" s="116"/>
      <c r="C711" s="117"/>
      <c r="D711" s="116"/>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c r="AJ711" s="101"/>
      <c r="AK711" s="101"/>
      <c r="AL711" s="101"/>
      <c r="AM711" s="101"/>
      <c r="AN711" s="101"/>
      <c r="AO711" s="101"/>
    </row>
    <row r="712" spans="1:41">
      <c r="A712" s="115"/>
      <c r="B712" s="116"/>
      <c r="C712" s="117"/>
      <c r="D712" s="116"/>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c r="AJ712" s="101"/>
      <c r="AK712" s="101"/>
      <c r="AL712" s="101"/>
      <c r="AM712" s="101"/>
      <c r="AN712" s="101"/>
      <c r="AO712" s="101"/>
    </row>
    <row r="713" spans="1:41">
      <c r="A713" s="115"/>
      <c r="B713" s="116"/>
      <c r="C713" s="117"/>
      <c r="D713" s="116"/>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c r="AJ713" s="101"/>
      <c r="AK713" s="101"/>
      <c r="AL713" s="101"/>
      <c r="AM713" s="101"/>
      <c r="AN713" s="101"/>
      <c r="AO713" s="101"/>
    </row>
    <row r="714" spans="1:41">
      <c r="A714" s="115"/>
      <c r="B714" s="116"/>
      <c r="C714" s="117"/>
      <c r="D714" s="116"/>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c r="AJ714" s="101"/>
      <c r="AK714" s="101"/>
      <c r="AL714" s="101"/>
      <c r="AM714" s="101"/>
      <c r="AN714" s="101"/>
      <c r="AO714" s="101"/>
    </row>
    <row r="715" spans="1:41">
      <c r="A715" s="115"/>
      <c r="B715" s="116"/>
      <c r="C715" s="117"/>
      <c r="D715" s="116"/>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c r="AJ715" s="101"/>
      <c r="AK715" s="101"/>
      <c r="AL715" s="101"/>
      <c r="AM715" s="101"/>
      <c r="AN715" s="101"/>
      <c r="AO715" s="101"/>
    </row>
    <row r="716" spans="1:41">
      <c r="A716" s="115"/>
      <c r="B716" s="116"/>
      <c r="C716" s="117"/>
      <c r="D716" s="116"/>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c r="AJ716" s="101"/>
      <c r="AK716" s="101"/>
      <c r="AL716" s="101"/>
      <c r="AM716" s="101"/>
      <c r="AN716" s="101"/>
      <c r="AO716" s="101"/>
    </row>
    <row r="717" spans="1:41">
      <c r="A717" s="115"/>
      <c r="B717" s="116"/>
      <c r="C717" s="117"/>
      <c r="D717" s="116"/>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row>
    <row r="718" spans="1:41">
      <c r="A718" s="115"/>
      <c r="B718" s="116"/>
      <c r="C718" s="117"/>
      <c r="D718" s="116"/>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c r="AJ718" s="101"/>
      <c r="AK718" s="101"/>
      <c r="AL718" s="101"/>
      <c r="AM718" s="101"/>
      <c r="AN718" s="101"/>
      <c r="AO718" s="101"/>
    </row>
    <row r="719" spans="1:41">
      <c r="A719" s="115"/>
      <c r="B719" s="116"/>
      <c r="C719" s="117"/>
      <c r="D719" s="116"/>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c r="AJ719" s="101"/>
      <c r="AK719" s="101"/>
      <c r="AL719" s="101"/>
      <c r="AM719" s="101"/>
      <c r="AN719" s="101"/>
      <c r="AO719" s="101"/>
    </row>
    <row r="720" spans="1:41">
      <c r="A720" s="115"/>
      <c r="B720" s="116"/>
      <c r="C720" s="117"/>
      <c r="D720" s="116"/>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c r="AJ720" s="101"/>
      <c r="AK720" s="101"/>
      <c r="AL720" s="101"/>
      <c r="AM720" s="101"/>
      <c r="AN720" s="101"/>
      <c r="AO720" s="101"/>
    </row>
    <row r="721" spans="1:41">
      <c r="A721" s="115"/>
      <c r="B721" s="116"/>
      <c r="C721" s="117"/>
      <c r="D721" s="116"/>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c r="AJ721" s="101"/>
      <c r="AK721" s="101"/>
      <c r="AL721" s="101"/>
      <c r="AM721" s="101"/>
      <c r="AN721" s="101"/>
      <c r="AO721" s="101"/>
    </row>
    <row r="722" spans="1:41">
      <c r="A722" s="115"/>
      <c r="B722" s="116"/>
      <c r="C722" s="117"/>
      <c r="D722" s="116"/>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c r="AJ722" s="101"/>
      <c r="AK722" s="101"/>
      <c r="AL722" s="101"/>
      <c r="AM722" s="101"/>
      <c r="AN722" s="101"/>
      <c r="AO722" s="101"/>
    </row>
    <row r="723" spans="1:41">
      <c r="A723" s="115"/>
      <c r="B723" s="116"/>
      <c r="C723" s="117"/>
      <c r="D723" s="116"/>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c r="AJ723" s="101"/>
      <c r="AK723" s="101"/>
      <c r="AL723" s="101"/>
      <c r="AM723" s="101"/>
      <c r="AN723" s="101"/>
      <c r="AO723" s="101"/>
    </row>
    <row r="724" spans="1:41">
      <c r="A724" s="115"/>
      <c r="B724" s="116"/>
      <c r="C724" s="117"/>
      <c r="D724" s="116"/>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c r="AJ724" s="101"/>
      <c r="AK724" s="101"/>
      <c r="AL724" s="101"/>
      <c r="AM724" s="101"/>
      <c r="AN724" s="101"/>
      <c r="AO724" s="101"/>
    </row>
    <row r="725" spans="1:41">
      <c r="A725" s="115"/>
      <c r="B725" s="116"/>
      <c r="C725" s="117"/>
      <c r="D725" s="116"/>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c r="AJ725" s="101"/>
      <c r="AK725" s="101"/>
      <c r="AL725" s="101"/>
      <c r="AM725" s="101"/>
      <c r="AN725" s="101"/>
      <c r="AO725" s="101"/>
    </row>
    <row r="726" spans="1:41">
      <c r="A726" s="115"/>
      <c r="B726" s="116"/>
      <c r="C726" s="117"/>
      <c r="D726" s="116"/>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c r="AJ726" s="101"/>
      <c r="AK726" s="101"/>
      <c r="AL726" s="101"/>
      <c r="AM726" s="101"/>
      <c r="AN726" s="101"/>
      <c r="AO726" s="101"/>
    </row>
    <row r="727" spans="1:41">
      <c r="A727" s="115"/>
      <c r="B727" s="116"/>
      <c r="C727" s="117"/>
      <c r="D727" s="116"/>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c r="AJ727" s="101"/>
      <c r="AK727" s="101"/>
      <c r="AL727" s="101"/>
      <c r="AM727" s="101"/>
      <c r="AN727" s="101"/>
      <c r="AO727" s="101"/>
    </row>
    <row r="728" spans="1:41">
      <c r="A728" s="115"/>
      <c r="B728" s="116"/>
      <c r="C728" s="117"/>
      <c r="D728" s="116"/>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c r="AJ728" s="101"/>
      <c r="AK728" s="101"/>
      <c r="AL728" s="101"/>
      <c r="AM728" s="101"/>
      <c r="AN728" s="101"/>
      <c r="AO728" s="101"/>
    </row>
    <row r="729" spans="1:41">
      <c r="A729" s="115"/>
      <c r="B729" s="116"/>
      <c r="C729" s="117"/>
      <c r="D729" s="116"/>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c r="AJ729" s="101"/>
      <c r="AK729" s="101"/>
      <c r="AL729" s="101"/>
      <c r="AM729" s="101"/>
      <c r="AN729" s="101"/>
      <c r="AO729" s="101"/>
    </row>
    <row r="730" spans="1:41">
      <c r="A730" s="115"/>
      <c r="B730" s="116"/>
      <c r="C730" s="117"/>
      <c r="D730" s="116"/>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c r="AJ730" s="101"/>
      <c r="AK730" s="101"/>
      <c r="AL730" s="101"/>
      <c r="AM730" s="101"/>
      <c r="AN730" s="101"/>
      <c r="AO730" s="101"/>
    </row>
    <row r="731" spans="1:41">
      <c r="A731" s="115"/>
      <c r="B731" s="116"/>
      <c r="C731" s="117"/>
      <c r="D731" s="116"/>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c r="AJ731" s="101"/>
      <c r="AK731" s="101"/>
      <c r="AL731" s="101"/>
      <c r="AM731" s="101"/>
      <c r="AN731" s="101"/>
      <c r="AO731" s="101"/>
    </row>
    <row r="732" spans="1:41">
      <c r="A732" s="115"/>
      <c r="B732" s="116"/>
      <c r="C732" s="117"/>
      <c r="D732" s="116"/>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c r="AJ732" s="101"/>
      <c r="AK732" s="101"/>
      <c r="AL732" s="101"/>
      <c r="AM732" s="101"/>
      <c r="AN732" s="101"/>
      <c r="AO732" s="101"/>
    </row>
    <row r="733" spans="1:41">
      <c r="A733" s="115"/>
      <c r="B733" s="116"/>
      <c r="C733" s="117"/>
      <c r="D733" s="116"/>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c r="AJ733" s="101"/>
      <c r="AK733" s="101"/>
      <c r="AL733" s="101"/>
      <c r="AM733" s="101"/>
      <c r="AN733" s="101"/>
      <c r="AO733" s="101"/>
    </row>
    <row r="734" spans="1:41">
      <c r="A734" s="115"/>
      <c r="B734" s="116"/>
      <c r="C734" s="117"/>
      <c r="D734" s="116"/>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row>
    <row r="735" spans="1:41">
      <c r="A735" s="115"/>
      <c r="B735" s="116"/>
      <c r="C735" s="117"/>
      <c r="D735" s="116"/>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c r="AJ735" s="101"/>
      <c r="AK735" s="101"/>
      <c r="AL735" s="101"/>
      <c r="AM735" s="101"/>
      <c r="AN735" s="101"/>
      <c r="AO735" s="101"/>
    </row>
    <row r="736" spans="1:41">
      <c r="A736" s="115"/>
      <c r="B736" s="116"/>
      <c r="C736" s="117"/>
      <c r="D736" s="116"/>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c r="AJ736" s="101"/>
      <c r="AK736" s="101"/>
      <c r="AL736" s="101"/>
      <c r="AM736" s="101"/>
      <c r="AN736" s="101"/>
      <c r="AO736" s="101"/>
    </row>
    <row r="737" spans="1:41">
      <c r="A737" s="115"/>
      <c r="B737" s="116"/>
      <c r="C737" s="117"/>
      <c r="D737" s="116"/>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c r="AJ737" s="101"/>
      <c r="AK737" s="101"/>
      <c r="AL737" s="101"/>
      <c r="AM737" s="101"/>
      <c r="AN737" s="101"/>
      <c r="AO737" s="101"/>
    </row>
    <row r="738" spans="1:41">
      <c r="A738" s="115"/>
      <c r="B738" s="116"/>
      <c r="C738" s="117"/>
      <c r="D738" s="116"/>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c r="AJ738" s="101"/>
      <c r="AK738" s="101"/>
      <c r="AL738" s="101"/>
      <c r="AM738" s="101"/>
      <c r="AN738" s="101"/>
      <c r="AO738" s="101"/>
    </row>
    <row r="739" spans="1:41">
      <c r="A739" s="115"/>
      <c r="B739" s="116"/>
      <c r="C739" s="117"/>
      <c r="D739" s="116"/>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c r="AJ739" s="101"/>
      <c r="AK739" s="101"/>
      <c r="AL739" s="101"/>
      <c r="AM739" s="101"/>
      <c r="AN739" s="101"/>
      <c r="AO739" s="101"/>
    </row>
    <row r="740" spans="1:41">
      <c r="A740" s="115"/>
      <c r="B740" s="116"/>
      <c r="C740" s="117"/>
      <c r="D740" s="116"/>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c r="AJ740" s="101"/>
      <c r="AK740" s="101"/>
      <c r="AL740" s="101"/>
      <c r="AM740" s="101"/>
      <c r="AN740" s="101"/>
      <c r="AO740" s="101"/>
    </row>
    <row r="741" spans="1:41">
      <c r="A741" s="115"/>
      <c r="B741" s="116"/>
      <c r="C741" s="117"/>
      <c r="D741" s="116"/>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c r="AJ741" s="101"/>
      <c r="AK741" s="101"/>
      <c r="AL741" s="101"/>
      <c r="AM741" s="101"/>
      <c r="AN741" s="101"/>
      <c r="AO741" s="101"/>
    </row>
    <row r="742" spans="1:41">
      <c r="A742" s="115"/>
      <c r="B742" s="116"/>
      <c r="C742" s="117"/>
      <c r="D742" s="116"/>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c r="AJ742" s="101"/>
      <c r="AK742" s="101"/>
      <c r="AL742" s="101"/>
      <c r="AM742" s="101"/>
      <c r="AN742" s="101"/>
      <c r="AO742" s="101"/>
    </row>
    <row r="743" spans="1:41">
      <c r="A743" s="115"/>
      <c r="B743" s="116"/>
      <c r="C743" s="117"/>
      <c r="D743" s="116"/>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c r="AJ743" s="101"/>
      <c r="AK743" s="101"/>
      <c r="AL743" s="101"/>
      <c r="AM743" s="101"/>
      <c r="AN743" s="101"/>
      <c r="AO743" s="101"/>
    </row>
    <row r="744" spans="1:41">
      <c r="A744" s="115"/>
      <c r="B744" s="116"/>
      <c r="C744" s="117"/>
      <c r="D744" s="116"/>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c r="AJ744" s="101"/>
      <c r="AK744" s="101"/>
      <c r="AL744" s="101"/>
      <c r="AM744" s="101"/>
      <c r="AN744" s="101"/>
      <c r="AO744" s="101"/>
    </row>
    <row r="745" spans="1:41">
      <c r="A745" s="115"/>
      <c r="B745" s="116"/>
      <c r="C745" s="117"/>
      <c r="D745" s="116"/>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c r="AJ745" s="101"/>
      <c r="AK745" s="101"/>
      <c r="AL745" s="101"/>
      <c r="AM745" s="101"/>
      <c r="AN745" s="101"/>
      <c r="AO745" s="101"/>
    </row>
    <row r="746" spans="1:41">
      <c r="A746" s="115"/>
      <c r="B746" s="116"/>
      <c r="C746" s="117"/>
      <c r="D746" s="116"/>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c r="AJ746" s="101"/>
      <c r="AK746" s="101"/>
      <c r="AL746" s="101"/>
      <c r="AM746" s="101"/>
      <c r="AN746" s="101"/>
      <c r="AO746" s="101"/>
    </row>
    <row r="747" spans="1:41">
      <c r="A747" s="115"/>
      <c r="B747" s="116"/>
      <c r="C747" s="117"/>
      <c r="D747" s="116"/>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c r="AJ747" s="101"/>
      <c r="AK747" s="101"/>
      <c r="AL747" s="101"/>
      <c r="AM747" s="101"/>
      <c r="AN747" s="101"/>
      <c r="AO747" s="101"/>
    </row>
    <row r="748" spans="1:41">
      <c r="A748" s="115"/>
      <c r="B748" s="116"/>
      <c r="C748" s="117"/>
      <c r="D748" s="116"/>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c r="AJ748" s="101"/>
      <c r="AK748" s="101"/>
      <c r="AL748" s="101"/>
      <c r="AM748" s="101"/>
      <c r="AN748" s="101"/>
      <c r="AO748" s="101"/>
    </row>
    <row r="749" spans="1:41">
      <c r="A749" s="115"/>
      <c r="B749" s="116"/>
      <c r="C749" s="117"/>
      <c r="D749" s="116"/>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c r="AJ749" s="101"/>
      <c r="AK749" s="101"/>
      <c r="AL749" s="101"/>
      <c r="AM749" s="101"/>
      <c r="AN749" s="101"/>
      <c r="AO749" s="101"/>
    </row>
    <row r="750" spans="1:41">
      <c r="A750" s="115"/>
      <c r="B750" s="116"/>
      <c r="C750" s="117"/>
      <c r="D750" s="116"/>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c r="AJ750" s="101"/>
      <c r="AK750" s="101"/>
      <c r="AL750" s="101"/>
      <c r="AM750" s="101"/>
      <c r="AN750" s="101"/>
      <c r="AO750" s="101"/>
    </row>
    <row r="751" spans="1:41">
      <c r="A751" s="115"/>
      <c r="B751" s="116"/>
      <c r="C751" s="117"/>
      <c r="D751" s="116"/>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row>
    <row r="752" spans="1:41">
      <c r="A752" s="115"/>
      <c r="B752" s="116"/>
      <c r="C752" s="117"/>
      <c r="D752" s="116"/>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c r="AJ752" s="101"/>
      <c r="AK752" s="101"/>
      <c r="AL752" s="101"/>
      <c r="AM752" s="101"/>
      <c r="AN752" s="101"/>
      <c r="AO752" s="101"/>
    </row>
    <row r="753" spans="1:41">
      <c r="A753" s="115"/>
      <c r="B753" s="116"/>
      <c r="C753" s="117"/>
      <c r="D753" s="116"/>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c r="AJ753" s="101"/>
      <c r="AK753" s="101"/>
      <c r="AL753" s="101"/>
      <c r="AM753" s="101"/>
      <c r="AN753" s="101"/>
      <c r="AO753" s="101"/>
    </row>
    <row r="754" spans="1:41">
      <c r="A754" s="115"/>
      <c r="B754" s="116"/>
      <c r="C754" s="117"/>
      <c r="D754" s="116"/>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c r="AJ754" s="101"/>
      <c r="AK754" s="101"/>
      <c r="AL754" s="101"/>
      <c r="AM754" s="101"/>
      <c r="AN754" s="101"/>
      <c r="AO754" s="101"/>
    </row>
    <row r="755" spans="1:41">
      <c r="A755" s="115"/>
      <c r="B755" s="116"/>
      <c r="C755" s="117"/>
      <c r="D755" s="116"/>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c r="AJ755" s="101"/>
      <c r="AK755" s="101"/>
      <c r="AL755" s="101"/>
      <c r="AM755" s="101"/>
      <c r="AN755" s="101"/>
      <c r="AO755" s="101"/>
    </row>
    <row r="756" spans="1:41">
      <c r="A756" s="115"/>
      <c r="B756" s="116"/>
      <c r="C756" s="117"/>
      <c r="D756" s="116"/>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c r="AJ756" s="101"/>
      <c r="AK756" s="101"/>
      <c r="AL756" s="101"/>
      <c r="AM756" s="101"/>
      <c r="AN756" s="101"/>
      <c r="AO756" s="101"/>
    </row>
    <row r="757" spans="1:41">
      <c r="A757" s="115"/>
      <c r="B757" s="116"/>
      <c r="C757" s="117"/>
      <c r="D757" s="116"/>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c r="AJ757" s="101"/>
      <c r="AK757" s="101"/>
      <c r="AL757" s="101"/>
      <c r="AM757" s="101"/>
      <c r="AN757" s="101"/>
      <c r="AO757" s="101"/>
    </row>
    <row r="758" spans="1:41">
      <c r="A758" s="115"/>
      <c r="B758" s="116"/>
      <c r="C758" s="117"/>
      <c r="D758" s="116"/>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c r="AJ758" s="101"/>
      <c r="AK758" s="101"/>
      <c r="AL758" s="101"/>
      <c r="AM758" s="101"/>
      <c r="AN758" s="101"/>
      <c r="AO758" s="101"/>
    </row>
    <row r="759" spans="1:41">
      <c r="A759" s="115"/>
      <c r="B759" s="116"/>
      <c r="C759" s="117"/>
      <c r="D759" s="116"/>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c r="AJ759" s="101"/>
      <c r="AK759" s="101"/>
      <c r="AL759" s="101"/>
      <c r="AM759" s="101"/>
      <c r="AN759" s="101"/>
      <c r="AO759" s="101"/>
    </row>
    <row r="760" spans="1:41">
      <c r="A760" s="115"/>
      <c r="B760" s="116"/>
      <c r="C760" s="117"/>
      <c r="D760" s="116"/>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c r="AJ760" s="101"/>
      <c r="AK760" s="101"/>
      <c r="AL760" s="101"/>
      <c r="AM760" s="101"/>
      <c r="AN760" s="101"/>
      <c r="AO760" s="101"/>
    </row>
    <row r="761" spans="1:41">
      <c r="A761" s="115"/>
      <c r="B761" s="116"/>
      <c r="C761" s="117"/>
      <c r="D761" s="116"/>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c r="AJ761" s="101"/>
      <c r="AK761" s="101"/>
      <c r="AL761" s="101"/>
      <c r="AM761" s="101"/>
      <c r="AN761" s="101"/>
      <c r="AO761" s="101"/>
    </row>
    <row r="762" spans="1:41">
      <c r="A762" s="115"/>
      <c r="B762" s="116"/>
      <c r="C762" s="117"/>
      <c r="D762" s="116"/>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c r="AJ762" s="101"/>
      <c r="AK762" s="101"/>
      <c r="AL762" s="101"/>
      <c r="AM762" s="101"/>
      <c r="AN762" s="101"/>
      <c r="AO762" s="101"/>
    </row>
    <row r="763" spans="1:41">
      <c r="A763" s="115"/>
      <c r="B763" s="116"/>
      <c r="C763" s="117"/>
      <c r="D763" s="116"/>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c r="AJ763" s="101"/>
      <c r="AK763" s="101"/>
      <c r="AL763" s="101"/>
      <c r="AM763" s="101"/>
      <c r="AN763" s="101"/>
      <c r="AO763" s="101"/>
    </row>
    <row r="764" spans="1:41">
      <c r="A764" s="115"/>
      <c r="B764" s="116"/>
      <c r="C764" s="117"/>
      <c r="D764" s="116"/>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c r="AJ764" s="101"/>
      <c r="AK764" s="101"/>
      <c r="AL764" s="101"/>
      <c r="AM764" s="101"/>
      <c r="AN764" s="101"/>
      <c r="AO764" s="101"/>
    </row>
    <row r="765" spans="1:41">
      <c r="A765" s="115"/>
      <c r="B765" s="116"/>
      <c r="C765" s="117"/>
      <c r="D765" s="116"/>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c r="AJ765" s="101"/>
      <c r="AK765" s="101"/>
      <c r="AL765" s="101"/>
      <c r="AM765" s="101"/>
      <c r="AN765" s="101"/>
      <c r="AO765" s="101"/>
    </row>
    <row r="766" spans="1:41">
      <c r="A766" s="115"/>
      <c r="B766" s="116"/>
      <c r="C766" s="117"/>
      <c r="D766" s="116"/>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c r="AJ766" s="101"/>
      <c r="AK766" s="101"/>
      <c r="AL766" s="101"/>
      <c r="AM766" s="101"/>
      <c r="AN766" s="101"/>
      <c r="AO766" s="101"/>
    </row>
    <row r="767" spans="1:41">
      <c r="A767" s="115"/>
      <c r="B767" s="116"/>
      <c r="C767" s="117"/>
      <c r="D767" s="116"/>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c r="AJ767" s="101"/>
      <c r="AK767" s="101"/>
      <c r="AL767" s="101"/>
      <c r="AM767" s="101"/>
      <c r="AN767" s="101"/>
      <c r="AO767" s="101"/>
    </row>
    <row r="768" spans="1:41">
      <c r="A768" s="115"/>
      <c r="B768" s="116"/>
      <c r="C768" s="117"/>
      <c r="D768" s="116"/>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row>
    <row r="769" spans="1:41">
      <c r="A769" s="115"/>
      <c r="B769" s="116"/>
      <c r="C769" s="117"/>
      <c r="D769" s="116"/>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c r="AJ769" s="101"/>
      <c r="AK769" s="101"/>
      <c r="AL769" s="101"/>
      <c r="AM769" s="101"/>
      <c r="AN769" s="101"/>
      <c r="AO769" s="101"/>
    </row>
    <row r="770" spans="1:41">
      <c r="A770" s="115"/>
      <c r="B770" s="116"/>
      <c r="C770" s="117"/>
      <c r="D770" s="116"/>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c r="AJ770" s="101"/>
      <c r="AK770" s="101"/>
      <c r="AL770" s="101"/>
      <c r="AM770" s="101"/>
      <c r="AN770" s="101"/>
      <c r="AO770" s="101"/>
    </row>
    <row r="771" spans="1:41">
      <c r="A771" s="115"/>
      <c r="B771" s="116"/>
      <c r="C771" s="117"/>
      <c r="D771" s="116"/>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c r="AJ771" s="101"/>
      <c r="AK771" s="101"/>
      <c r="AL771" s="101"/>
      <c r="AM771" s="101"/>
      <c r="AN771" s="101"/>
      <c r="AO771" s="101"/>
    </row>
    <row r="772" spans="1:41">
      <c r="A772" s="115"/>
      <c r="B772" s="116"/>
      <c r="C772" s="117"/>
      <c r="D772" s="116"/>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c r="AJ772" s="101"/>
      <c r="AK772" s="101"/>
      <c r="AL772" s="101"/>
      <c r="AM772" s="101"/>
      <c r="AN772" s="101"/>
      <c r="AO772" s="101"/>
    </row>
    <row r="773" spans="1:41">
      <c r="A773" s="115"/>
      <c r="B773" s="116"/>
      <c r="C773" s="117"/>
      <c r="D773" s="116"/>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c r="AJ773" s="101"/>
      <c r="AK773" s="101"/>
      <c r="AL773" s="101"/>
      <c r="AM773" s="101"/>
      <c r="AN773" s="101"/>
      <c r="AO773" s="101"/>
    </row>
    <row r="774" spans="1:41">
      <c r="A774" s="115"/>
      <c r="B774" s="116"/>
      <c r="C774" s="117"/>
      <c r="D774" s="116"/>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c r="AJ774" s="101"/>
      <c r="AK774" s="101"/>
      <c r="AL774" s="101"/>
      <c r="AM774" s="101"/>
      <c r="AN774" s="101"/>
      <c r="AO774" s="101"/>
    </row>
    <row r="775" spans="1:41">
      <c r="A775" s="115"/>
      <c r="B775" s="116"/>
      <c r="C775" s="117"/>
      <c r="D775" s="116"/>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c r="AJ775" s="101"/>
      <c r="AK775" s="101"/>
      <c r="AL775" s="101"/>
      <c r="AM775" s="101"/>
      <c r="AN775" s="101"/>
      <c r="AO775" s="101"/>
    </row>
    <row r="776" spans="1:41">
      <c r="A776" s="115"/>
      <c r="B776" s="116"/>
      <c r="C776" s="117"/>
      <c r="D776" s="116"/>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c r="AJ776" s="101"/>
      <c r="AK776" s="101"/>
      <c r="AL776" s="101"/>
      <c r="AM776" s="101"/>
      <c r="AN776" s="101"/>
      <c r="AO776" s="101"/>
    </row>
    <row r="777" spans="1:41">
      <c r="A777" s="115"/>
      <c r="B777" s="116"/>
      <c r="C777" s="117"/>
      <c r="D777" s="116"/>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c r="AJ777" s="101"/>
      <c r="AK777" s="101"/>
      <c r="AL777" s="101"/>
      <c r="AM777" s="101"/>
      <c r="AN777" s="101"/>
      <c r="AO777" s="101"/>
    </row>
    <row r="778" spans="1:41">
      <c r="A778" s="115"/>
      <c r="B778" s="116"/>
      <c r="C778" s="117"/>
      <c r="D778" s="116"/>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c r="AJ778" s="101"/>
      <c r="AK778" s="101"/>
      <c r="AL778" s="101"/>
      <c r="AM778" s="101"/>
      <c r="AN778" s="101"/>
      <c r="AO778" s="101"/>
    </row>
    <row r="779" spans="1:41">
      <c r="A779" s="115"/>
      <c r="B779" s="116"/>
      <c r="C779" s="117"/>
      <c r="D779" s="116"/>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c r="AJ779" s="101"/>
      <c r="AK779" s="101"/>
      <c r="AL779" s="101"/>
      <c r="AM779" s="101"/>
      <c r="AN779" s="101"/>
      <c r="AO779" s="101"/>
    </row>
    <row r="780" spans="1:41">
      <c r="A780" s="115"/>
      <c r="B780" s="116"/>
      <c r="C780" s="117"/>
      <c r="D780" s="116"/>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c r="AJ780" s="101"/>
      <c r="AK780" s="101"/>
      <c r="AL780" s="101"/>
      <c r="AM780" s="101"/>
      <c r="AN780" s="101"/>
      <c r="AO780" s="101"/>
    </row>
    <row r="781" spans="1:41">
      <c r="A781" s="115"/>
      <c r="B781" s="116"/>
      <c r="C781" s="117"/>
      <c r="D781" s="116"/>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c r="AJ781" s="101"/>
      <c r="AK781" s="101"/>
      <c r="AL781" s="101"/>
      <c r="AM781" s="101"/>
      <c r="AN781" s="101"/>
      <c r="AO781" s="101"/>
    </row>
    <row r="782" spans="1:41">
      <c r="A782" s="115"/>
      <c r="B782" s="116"/>
      <c r="C782" s="117"/>
      <c r="D782" s="116"/>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c r="AJ782" s="101"/>
      <c r="AK782" s="101"/>
      <c r="AL782" s="101"/>
      <c r="AM782" s="101"/>
      <c r="AN782" s="101"/>
      <c r="AO782" s="101"/>
    </row>
    <row r="783" spans="1:41">
      <c r="A783" s="115"/>
      <c r="B783" s="116"/>
      <c r="C783" s="117"/>
      <c r="D783" s="116"/>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c r="AJ783" s="101"/>
      <c r="AK783" s="101"/>
      <c r="AL783" s="101"/>
      <c r="AM783" s="101"/>
      <c r="AN783" s="101"/>
      <c r="AO783" s="101"/>
    </row>
    <row r="784" spans="1:41">
      <c r="A784" s="115"/>
      <c r="B784" s="116"/>
      <c r="C784" s="117"/>
      <c r="D784" s="116"/>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c r="AJ784" s="101"/>
      <c r="AK784" s="101"/>
      <c r="AL784" s="101"/>
      <c r="AM784" s="101"/>
      <c r="AN784" s="101"/>
      <c r="AO784" s="101"/>
    </row>
    <row r="785" spans="1:41">
      <c r="A785" s="115"/>
      <c r="B785" s="116"/>
      <c r="C785" s="117"/>
      <c r="D785" s="116"/>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row>
    <row r="786" spans="1:41">
      <c r="A786" s="115"/>
      <c r="B786" s="116"/>
      <c r="C786" s="117"/>
      <c r="D786" s="116"/>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c r="AJ786" s="101"/>
      <c r="AK786" s="101"/>
      <c r="AL786" s="101"/>
      <c r="AM786" s="101"/>
      <c r="AN786" s="101"/>
      <c r="AO786" s="101"/>
    </row>
    <row r="787" spans="1:41">
      <c r="A787" s="115"/>
      <c r="B787" s="116"/>
      <c r="C787" s="117"/>
      <c r="D787" s="116"/>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c r="AJ787" s="101"/>
      <c r="AK787" s="101"/>
      <c r="AL787" s="101"/>
      <c r="AM787" s="101"/>
      <c r="AN787" s="101"/>
      <c r="AO787" s="101"/>
    </row>
    <row r="788" spans="1:41">
      <c r="A788" s="115"/>
      <c r="B788" s="116"/>
      <c r="C788" s="117"/>
      <c r="D788" s="116"/>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c r="AJ788" s="101"/>
      <c r="AK788" s="101"/>
      <c r="AL788" s="101"/>
      <c r="AM788" s="101"/>
      <c r="AN788" s="101"/>
      <c r="AO788" s="101"/>
    </row>
    <row r="789" spans="1:41">
      <c r="A789" s="115"/>
      <c r="B789" s="116"/>
      <c r="C789" s="117"/>
      <c r="D789" s="116"/>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c r="AJ789" s="101"/>
      <c r="AK789" s="101"/>
      <c r="AL789" s="101"/>
      <c r="AM789" s="101"/>
      <c r="AN789" s="101"/>
      <c r="AO789" s="101"/>
    </row>
    <row r="790" spans="1:41">
      <c r="A790" s="115"/>
      <c r="B790" s="116"/>
      <c r="C790" s="117"/>
      <c r="D790" s="116"/>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c r="AJ790" s="101"/>
      <c r="AK790" s="101"/>
      <c r="AL790" s="101"/>
      <c r="AM790" s="101"/>
      <c r="AN790" s="101"/>
      <c r="AO790" s="101"/>
    </row>
    <row r="791" spans="1:41">
      <c r="A791" s="115"/>
      <c r="B791" s="116"/>
      <c r="C791" s="117"/>
      <c r="D791" s="116"/>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c r="AJ791" s="101"/>
      <c r="AK791" s="101"/>
      <c r="AL791" s="101"/>
      <c r="AM791" s="101"/>
      <c r="AN791" s="101"/>
      <c r="AO791" s="101"/>
    </row>
    <row r="792" spans="1:41">
      <c r="A792" s="115"/>
      <c r="B792" s="116"/>
      <c r="C792" s="117"/>
      <c r="D792" s="116"/>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c r="AJ792" s="101"/>
      <c r="AK792" s="101"/>
      <c r="AL792" s="101"/>
      <c r="AM792" s="101"/>
      <c r="AN792" s="101"/>
      <c r="AO792" s="101"/>
    </row>
    <row r="793" spans="1:41">
      <c r="A793" s="115"/>
      <c r="B793" s="116"/>
      <c r="C793" s="117"/>
      <c r="D793" s="116"/>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c r="AJ793" s="101"/>
      <c r="AK793" s="101"/>
      <c r="AL793" s="101"/>
      <c r="AM793" s="101"/>
      <c r="AN793" s="101"/>
      <c r="AO793" s="101"/>
    </row>
    <row r="794" spans="1:41">
      <c r="A794" s="115"/>
      <c r="B794" s="116"/>
      <c r="C794" s="117"/>
      <c r="D794" s="116"/>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c r="AJ794" s="101"/>
      <c r="AK794" s="101"/>
      <c r="AL794" s="101"/>
      <c r="AM794" s="101"/>
      <c r="AN794" s="101"/>
      <c r="AO794" s="101"/>
    </row>
    <row r="795" spans="1:41">
      <c r="A795" s="115"/>
      <c r="B795" s="116"/>
      <c r="C795" s="117"/>
      <c r="D795" s="116"/>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c r="AJ795" s="101"/>
      <c r="AK795" s="101"/>
      <c r="AL795" s="101"/>
      <c r="AM795" s="101"/>
      <c r="AN795" s="101"/>
      <c r="AO795" s="101"/>
    </row>
    <row r="796" spans="1:41">
      <c r="A796" s="115"/>
      <c r="B796" s="116"/>
      <c r="C796" s="117"/>
      <c r="D796" s="116"/>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c r="AJ796" s="101"/>
      <c r="AK796" s="101"/>
      <c r="AL796" s="101"/>
      <c r="AM796" s="101"/>
      <c r="AN796" s="101"/>
      <c r="AO796" s="101"/>
    </row>
    <row r="797" spans="1:41">
      <c r="A797" s="115"/>
      <c r="B797" s="116"/>
      <c r="C797" s="117"/>
      <c r="D797" s="116"/>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c r="AJ797" s="101"/>
      <c r="AK797" s="101"/>
      <c r="AL797" s="101"/>
      <c r="AM797" s="101"/>
      <c r="AN797" s="101"/>
      <c r="AO797" s="101"/>
    </row>
    <row r="798" spans="1:41">
      <c r="A798" s="115"/>
      <c r="B798" s="116"/>
      <c r="C798" s="117"/>
      <c r="D798" s="116"/>
      <c r="E798" s="101"/>
      <c r="F798" s="101"/>
      <c r="G798" s="101"/>
      <c r="H798" s="101"/>
      <c r="I798" s="101"/>
      <c r="J798" s="101"/>
      <c r="K798" s="101"/>
      <c r="L798" s="101"/>
      <c r="M798" s="101"/>
      <c r="N798" s="101"/>
      <c r="O798" s="101"/>
      <c r="P798" s="101"/>
      <c r="Q798" s="101"/>
      <c r="R798" s="101"/>
      <c r="S798" s="101"/>
      <c r="T798" s="101"/>
      <c r="U798" s="101"/>
      <c r="V798" s="101"/>
      <c r="W798" s="101"/>
      <c r="X798" s="101"/>
      <c r="Y798" s="101"/>
      <c r="Z798" s="101"/>
      <c r="AA798" s="101"/>
      <c r="AB798" s="101"/>
      <c r="AC798" s="101"/>
      <c r="AD798" s="101"/>
      <c r="AE798" s="101"/>
      <c r="AF798" s="101"/>
      <c r="AG798" s="101"/>
      <c r="AH798" s="101"/>
      <c r="AI798" s="101"/>
      <c r="AJ798" s="101"/>
      <c r="AK798" s="101"/>
      <c r="AL798" s="101"/>
      <c r="AM798" s="101"/>
      <c r="AN798" s="101"/>
      <c r="AO798" s="101"/>
    </row>
    <row r="799" spans="1:41">
      <c r="A799" s="115"/>
      <c r="B799" s="116"/>
      <c r="C799" s="117"/>
      <c r="D799" s="116"/>
      <c r="E799" s="101"/>
      <c r="F799" s="101"/>
      <c r="G799" s="101"/>
      <c r="H799" s="101"/>
      <c r="I799" s="101"/>
      <c r="J799" s="101"/>
      <c r="K799" s="101"/>
      <c r="L799" s="101"/>
      <c r="M799" s="101"/>
      <c r="N799" s="101"/>
      <c r="O799" s="101"/>
      <c r="P799" s="101"/>
      <c r="Q799" s="101"/>
      <c r="R799" s="101"/>
      <c r="S799" s="101"/>
      <c r="T799" s="101"/>
      <c r="U799" s="101"/>
      <c r="V799" s="101"/>
      <c r="W799" s="101"/>
      <c r="X799" s="101"/>
      <c r="Y799" s="101"/>
      <c r="Z799" s="101"/>
      <c r="AA799" s="101"/>
      <c r="AB799" s="101"/>
      <c r="AC799" s="101"/>
      <c r="AD799" s="101"/>
      <c r="AE799" s="101"/>
      <c r="AF799" s="101"/>
      <c r="AG799" s="101"/>
      <c r="AH799" s="101"/>
      <c r="AI799" s="101"/>
      <c r="AJ799" s="101"/>
      <c r="AK799" s="101"/>
      <c r="AL799" s="101"/>
      <c r="AM799" s="101"/>
      <c r="AN799" s="101"/>
      <c r="AO799" s="101"/>
    </row>
    <row r="800" spans="1:41">
      <c r="A800" s="115"/>
      <c r="B800" s="116"/>
      <c r="C800" s="117"/>
      <c r="D800" s="116"/>
      <c r="E800" s="101"/>
      <c r="F800" s="101"/>
      <c r="G800" s="101"/>
      <c r="H800" s="101"/>
      <c r="I800" s="101"/>
      <c r="J800" s="101"/>
      <c r="K800" s="101"/>
      <c r="L800" s="101"/>
      <c r="M800" s="101"/>
      <c r="N800" s="101"/>
      <c r="O800" s="101"/>
      <c r="P800" s="101"/>
      <c r="Q800" s="101"/>
      <c r="R800" s="101"/>
      <c r="S800" s="101"/>
      <c r="T800" s="101"/>
      <c r="U800" s="101"/>
      <c r="V800" s="101"/>
      <c r="W800" s="101"/>
      <c r="X800" s="101"/>
      <c r="Y800" s="101"/>
      <c r="Z800" s="101"/>
      <c r="AA800" s="101"/>
      <c r="AB800" s="101"/>
      <c r="AC800" s="101"/>
      <c r="AD800" s="101"/>
      <c r="AE800" s="101"/>
      <c r="AF800" s="101"/>
      <c r="AG800" s="101"/>
      <c r="AH800" s="101"/>
      <c r="AI800" s="101"/>
      <c r="AJ800" s="101"/>
      <c r="AK800" s="101"/>
      <c r="AL800" s="101"/>
      <c r="AM800" s="101"/>
      <c r="AN800" s="101"/>
      <c r="AO800" s="101"/>
    </row>
    <row r="801" spans="1:41">
      <c r="A801" s="115"/>
      <c r="B801" s="116"/>
      <c r="C801" s="117"/>
      <c r="D801" s="116"/>
      <c r="E801" s="101"/>
      <c r="F801" s="101"/>
      <c r="G801" s="101"/>
      <c r="H801" s="101"/>
      <c r="I801" s="101"/>
      <c r="J801" s="101"/>
      <c r="K801" s="101"/>
      <c r="L801" s="101"/>
      <c r="M801" s="101"/>
      <c r="N801" s="101"/>
      <c r="O801" s="101"/>
      <c r="P801" s="101"/>
      <c r="Q801" s="101"/>
      <c r="R801" s="101"/>
      <c r="S801" s="101"/>
      <c r="T801" s="101"/>
      <c r="U801" s="101"/>
      <c r="V801" s="101"/>
      <c r="W801" s="101"/>
      <c r="X801" s="101"/>
      <c r="Y801" s="101"/>
      <c r="Z801" s="101"/>
      <c r="AA801" s="101"/>
      <c r="AB801" s="101"/>
      <c r="AC801" s="101"/>
      <c r="AD801" s="101"/>
      <c r="AE801" s="101"/>
      <c r="AF801" s="101"/>
      <c r="AG801" s="101"/>
      <c r="AH801" s="101"/>
      <c r="AI801" s="101"/>
      <c r="AJ801" s="101"/>
      <c r="AK801" s="101"/>
      <c r="AL801" s="101"/>
      <c r="AM801" s="101"/>
      <c r="AN801" s="101"/>
      <c r="AO801" s="101"/>
    </row>
    <row r="802" spans="1:41">
      <c r="A802" s="115"/>
      <c r="B802" s="116"/>
      <c r="C802" s="117"/>
      <c r="D802" s="116"/>
      <c r="E802" s="101"/>
      <c r="F802" s="101"/>
      <c r="G802" s="101"/>
      <c r="H802" s="101"/>
      <c r="I802" s="101"/>
      <c r="J802" s="101"/>
      <c r="K802" s="101"/>
      <c r="L802" s="101"/>
      <c r="M802" s="101"/>
      <c r="N802" s="101"/>
      <c r="O802" s="101"/>
      <c r="P802" s="101"/>
      <c r="Q802" s="101"/>
      <c r="R802" s="101"/>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row>
    <row r="803" spans="1:41">
      <c r="A803" s="115"/>
      <c r="B803" s="116"/>
      <c r="C803" s="117"/>
      <c r="D803" s="116"/>
      <c r="E803" s="101"/>
      <c r="F803" s="101"/>
      <c r="G803" s="101"/>
      <c r="H803" s="101"/>
      <c r="I803" s="101"/>
      <c r="J803" s="101"/>
      <c r="K803" s="101"/>
      <c r="L803" s="101"/>
      <c r="M803" s="101"/>
      <c r="N803" s="101"/>
      <c r="O803" s="101"/>
      <c r="P803" s="101"/>
      <c r="Q803" s="101"/>
      <c r="R803" s="101"/>
      <c r="S803" s="101"/>
      <c r="T803" s="101"/>
      <c r="U803" s="101"/>
      <c r="V803" s="101"/>
      <c r="W803" s="101"/>
      <c r="X803" s="101"/>
      <c r="Y803" s="101"/>
      <c r="Z803" s="101"/>
      <c r="AA803" s="101"/>
      <c r="AB803" s="101"/>
      <c r="AC803" s="101"/>
      <c r="AD803" s="101"/>
      <c r="AE803" s="101"/>
      <c r="AF803" s="101"/>
      <c r="AG803" s="101"/>
      <c r="AH803" s="101"/>
      <c r="AI803" s="101"/>
      <c r="AJ803" s="101"/>
      <c r="AK803" s="101"/>
      <c r="AL803" s="101"/>
      <c r="AM803" s="101"/>
      <c r="AN803" s="101"/>
      <c r="AO803" s="101"/>
    </row>
    <row r="804" spans="1:41">
      <c r="A804" s="115"/>
      <c r="B804" s="116"/>
      <c r="C804" s="117"/>
      <c r="D804" s="116"/>
      <c r="E804" s="101"/>
      <c r="F804" s="101"/>
      <c r="G804" s="101"/>
      <c r="H804" s="101"/>
      <c r="I804" s="101"/>
      <c r="J804" s="101"/>
      <c r="K804" s="101"/>
      <c r="L804" s="101"/>
      <c r="M804" s="101"/>
      <c r="N804" s="101"/>
      <c r="O804" s="101"/>
      <c r="P804" s="101"/>
      <c r="Q804" s="101"/>
      <c r="R804" s="101"/>
      <c r="S804" s="101"/>
      <c r="T804" s="101"/>
      <c r="U804" s="101"/>
      <c r="V804" s="101"/>
      <c r="W804" s="101"/>
      <c r="X804" s="101"/>
      <c r="Y804" s="101"/>
      <c r="Z804" s="101"/>
      <c r="AA804" s="101"/>
      <c r="AB804" s="101"/>
      <c r="AC804" s="101"/>
      <c r="AD804" s="101"/>
      <c r="AE804" s="101"/>
      <c r="AF804" s="101"/>
      <c r="AG804" s="101"/>
      <c r="AH804" s="101"/>
      <c r="AI804" s="101"/>
      <c r="AJ804" s="101"/>
      <c r="AK804" s="101"/>
      <c r="AL804" s="101"/>
      <c r="AM804" s="101"/>
      <c r="AN804" s="101"/>
      <c r="AO804" s="101"/>
    </row>
    <row r="805" spans="1:41">
      <c r="A805" s="115"/>
      <c r="B805" s="116"/>
      <c r="C805" s="117"/>
      <c r="D805" s="116"/>
      <c r="E805" s="101"/>
      <c r="F805" s="101"/>
      <c r="G805" s="101"/>
      <c r="H805" s="101"/>
      <c r="I805" s="101"/>
      <c r="J805" s="101"/>
      <c r="K805" s="101"/>
      <c r="L805" s="101"/>
      <c r="M805" s="101"/>
      <c r="N805" s="101"/>
      <c r="O805" s="101"/>
      <c r="P805" s="101"/>
      <c r="Q805" s="101"/>
      <c r="R805" s="101"/>
      <c r="S805" s="101"/>
      <c r="T805" s="101"/>
      <c r="U805" s="101"/>
      <c r="V805" s="101"/>
      <c r="W805" s="101"/>
      <c r="X805" s="101"/>
      <c r="Y805" s="101"/>
      <c r="Z805" s="101"/>
      <c r="AA805" s="101"/>
      <c r="AB805" s="101"/>
      <c r="AC805" s="101"/>
      <c r="AD805" s="101"/>
      <c r="AE805" s="101"/>
      <c r="AF805" s="101"/>
      <c r="AG805" s="101"/>
      <c r="AH805" s="101"/>
      <c r="AI805" s="101"/>
      <c r="AJ805" s="101"/>
      <c r="AK805" s="101"/>
      <c r="AL805" s="101"/>
      <c r="AM805" s="101"/>
      <c r="AN805" s="101"/>
      <c r="AO805" s="101"/>
    </row>
    <row r="806" spans="1:41">
      <c r="A806" s="115"/>
      <c r="B806" s="116"/>
      <c r="C806" s="117"/>
      <c r="D806" s="116"/>
      <c r="E806" s="101"/>
      <c r="F806" s="101"/>
      <c r="G806" s="101"/>
      <c r="H806" s="101"/>
      <c r="I806" s="101"/>
      <c r="J806" s="101"/>
      <c r="K806" s="101"/>
      <c r="L806" s="101"/>
      <c r="M806" s="101"/>
      <c r="N806" s="101"/>
      <c r="O806" s="101"/>
      <c r="P806" s="101"/>
      <c r="Q806" s="101"/>
      <c r="R806" s="101"/>
      <c r="S806" s="101"/>
      <c r="T806" s="101"/>
      <c r="U806" s="101"/>
      <c r="V806" s="101"/>
      <c r="W806" s="101"/>
      <c r="X806" s="101"/>
      <c r="Y806" s="101"/>
      <c r="Z806" s="101"/>
      <c r="AA806" s="101"/>
      <c r="AB806" s="101"/>
      <c r="AC806" s="101"/>
      <c r="AD806" s="101"/>
      <c r="AE806" s="101"/>
      <c r="AF806" s="101"/>
      <c r="AG806" s="101"/>
      <c r="AH806" s="101"/>
      <c r="AI806" s="101"/>
      <c r="AJ806" s="101"/>
      <c r="AK806" s="101"/>
      <c r="AL806" s="101"/>
      <c r="AM806" s="101"/>
      <c r="AN806" s="101"/>
      <c r="AO806" s="101"/>
    </row>
    <row r="807" spans="1:41">
      <c r="A807" s="115"/>
      <c r="B807" s="116"/>
      <c r="C807" s="117"/>
      <c r="D807" s="116"/>
      <c r="E807" s="101"/>
      <c r="F807" s="101"/>
      <c r="G807" s="101"/>
      <c r="H807" s="101"/>
      <c r="I807" s="101"/>
      <c r="J807" s="101"/>
      <c r="K807" s="101"/>
      <c r="L807" s="101"/>
      <c r="M807" s="101"/>
      <c r="N807" s="101"/>
      <c r="O807" s="101"/>
      <c r="P807" s="101"/>
      <c r="Q807" s="101"/>
      <c r="R807" s="101"/>
      <c r="S807" s="101"/>
      <c r="T807" s="101"/>
      <c r="U807" s="101"/>
      <c r="V807" s="101"/>
      <c r="W807" s="101"/>
      <c r="X807" s="101"/>
      <c r="Y807" s="101"/>
      <c r="Z807" s="101"/>
      <c r="AA807" s="101"/>
      <c r="AB807" s="101"/>
      <c r="AC807" s="101"/>
      <c r="AD807" s="101"/>
      <c r="AE807" s="101"/>
      <c r="AF807" s="101"/>
      <c r="AG807" s="101"/>
      <c r="AH807" s="101"/>
      <c r="AI807" s="101"/>
      <c r="AJ807" s="101"/>
      <c r="AK807" s="101"/>
      <c r="AL807" s="101"/>
      <c r="AM807" s="101"/>
      <c r="AN807" s="101"/>
      <c r="AO807" s="101"/>
    </row>
    <row r="808" spans="1:41">
      <c r="A808" s="115"/>
      <c r="B808" s="116"/>
      <c r="C808" s="117"/>
      <c r="D808" s="116"/>
      <c r="E808" s="101"/>
      <c r="F808" s="101"/>
      <c r="G808" s="101"/>
      <c r="H808" s="101"/>
      <c r="I808" s="101"/>
      <c r="J808" s="101"/>
      <c r="K808" s="101"/>
      <c r="L808" s="101"/>
      <c r="M808" s="101"/>
      <c r="N808" s="101"/>
      <c r="O808" s="101"/>
      <c r="P808" s="101"/>
      <c r="Q808" s="101"/>
      <c r="R808" s="101"/>
      <c r="S808" s="101"/>
      <c r="T808" s="101"/>
      <c r="U808" s="101"/>
      <c r="V808" s="101"/>
      <c r="W808" s="101"/>
      <c r="X808" s="101"/>
      <c r="Y808" s="101"/>
      <c r="Z808" s="101"/>
      <c r="AA808" s="101"/>
      <c r="AB808" s="101"/>
      <c r="AC808" s="101"/>
      <c r="AD808" s="101"/>
      <c r="AE808" s="101"/>
      <c r="AF808" s="101"/>
      <c r="AG808" s="101"/>
      <c r="AH808" s="101"/>
      <c r="AI808" s="101"/>
      <c r="AJ808" s="101"/>
      <c r="AK808" s="101"/>
      <c r="AL808" s="101"/>
      <c r="AM808" s="101"/>
      <c r="AN808" s="101"/>
      <c r="AO808" s="101"/>
    </row>
    <row r="809" spans="1:41">
      <c r="A809" s="115"/>
      <c r="B809" s="116"/>
      <c r="C809" s="117"/>
      <c r="D809" s="116"/>
      <c r="E809" s="101"/>
      <c r="F809" s="101"/>
      <c r="G809" s="101"/>
      <c r="H809" s="101"/>
      <c r="I809" s="101"/>
      <c r="J809" s="101"/>
      <c r="K809" s="101"/>
      <c r="L809" s="101"/>
      <c r="M809" s="101"/>
      <c r="N809" s="101"/>
      <c r="O809" s="101"/>
      <c r="P809" s="101"/>
      <c r="Q809" s="101"/>
      <c r="R809" s="101"/>
      <c r="S809" s="101"/>
      <c r="T809" s="101"/>
      <c r="U809" s="101"/>
      <c r="V809" s="101"/>
      <c r="W809" s="101"/>
      <c r="X809" s="101"/>
      <c r="Y809" s="101"/>
      <c r="Z809" s="101"/>
      <c r="AA809" s="101"/>
      <c r="AB809" s="101"/>
      <c r="AC809" s="101"/>
      <c r="AD809" s="101"/>
      <c r="AE809" s="101"/>
      <c r="AF809" s="101"/>
      <c r="AG809" s="101"/>
      <c r="AH809" s="101"/>
      <c r="AI809" s="101"/>
      <c r="AJ809" s="101"/>
      <c r="AK809" s="101"/>
      <c r="AL809" s="101"/>
      <c r="AM809" s="101"/>
      <c r="AN809" s="101"/>
      <c r="AO809" s="101"/>
    </row>
    <row r="810" spans="1:41">
      <c r="A810" s="115"/>
      <c r="B810" s="116"/>
      <c r="C810" s="117"/>
      <c r="D810" s="116"/>
      <c r="E810" s="101"/>
      <c r="F810" s="101"/>
      <c r="G810" s="101"/>
      <c r="H810" s="101"/>
      <c r="I810" s="101"/>
      <c r="J810" s="101"/>
      <c r="K810" s="101"/>
      <c r="L810" s="101"/>
      <c r="M810" s="101"/>
      <c r="N810" s="101"/>
      <c r="O810" s="101"/>
      <c r="P810" s="101"/>
      <c r="Q810" s="101"/>
      <c r="R810" s="101"/>
      <c r="S810" s="101"/>
      <c r="T810" s="101"/>
      <c r="U810" s="101"/>
      <c r="V810" s="101"/>
      <c r="W810" s="101"/>
      <c r="X810" s="101"/>
      <c r="Y810" s="101"/>
      <c r="Z810" s="101"/>
      <c r="AA810" s="101"/>
      <c r="AB810" s="101"/>
      <c r="AC810" s="101"/>
      <c r="AD810" s="101"/>
      <c r="AE810" s="101"/>
      <c r="AF810" s="101"/>
      <c r="AG810" s="101"/>
      <c r="AH810" s="101"/>
      <c r="AI810" s="101"/>
      <c r="AJ810" s="101"/>
      <c r="AK810" s="101"/>
      <c r="AL810" s="101"/>
      <c r="AM810" s="101"/>
      <c r="AN810" s="101"/>
      <c r="AO810" s="101"/>
    </row>
    <row r="811" spans="1:41">
      <c r="A811" s="115"/>
      <c r="B811" s="116"/>
      <c r="C811" s="117"/>
      <c r="D811" s="116"/>
      <c r="E811" s="101"/>
      <c r="F811" s="101"/>
      <c r="G811" s="101"/>
      <c r="H811" s="101"/>
      <c r="I811" s="101"/>
      <c r="J811" s="101"/>
      <c r="K811" s="101"/>
      <c r="L811" s="101"/>
      <c r="M811" s="101"/>
      <c r="N811" s="101"/>
      <c r="O811" s="101"/>
      <c r="P811" s="101"/>
      <c r="Q811" s="101"/>
      <c r="R811" s="101"/>
      <c r="S811" s="101"/>
      <c r="T811" s="101"/>
      <c r="U811" s="101"/>
      <c r="V811" s="101"/>
      <c r="W811" s="101"/>
      <c r="X811" s="101"/>
      <c r="Y811" s="101"/>
      <c r="Z811" s="101"/>
      <c r="AA811" s="101"/>
      <c r="AB811" s="101"/>
      <c r="AC811" s="101"/>
      <c r="AD811" s="101"/>
      <c r="AE811" s="101"/>
      <c r="AF811" s="101"/>
      <c r="AG811" s="101"/>
      <c r="AH811" s="101"/>
      <c r="AI811" s="101"/>
      <c r="AJ811" s="101"/>
      <c r="AK811" s="101"/>
      <c r="AL811" s="101"/>
      <c r="AM811" s="101"/>
      <c r="AN811" s="101"/>
      <c r="AO811" s="101"/>
    </row>
    <row r="812" spans="1:41">
      <c r="A812" s="115"/>
      <c r="B812" s="116"/>
      <c r="C812" s="117"/>
      <c r="D812" s="116"/>
      <c r="E812" s="101"/>
      <c r="F812" s="101"/>
      <c r="G812" s="101"/>
      <c r="H812" s="101"/>
      <c r="I812" s="101"/>
      <c r="J812" s="101"/>
      <c r="K812" s="101"/>
      <c r="L812" s="101"/>
      <c r="M812" s="101"/>
      <c r="N812" s="101"/>
      <c r="O812" s="101"/>
      <c r="P812" s="101"/>
      <c r="Q812" s="101"/>
      <c r="R812" s="101"/>
      <c r="S812" s="101"/>
      <c r="T812" s="101"/>
      <c r="U812" s="101"/>
      <c r="V812" s="101"/>
      <c r="W812" s="101"/>
      <c r="X812" s="101"/>
      <c r="Y812" s="101"/>
      <c r="Z812" s="101"/>
      <c r="AA812" s="101"/>
      <c r="AB812" s="101"/>
      <c r="AC812" s="101"/>
      <c r="AD812" s="101"/>
      <c r="AE812" s="101"/>
      <c r="AF812" s="101"/>
      <c r="AG812" s="101"/>
      <c r="AH812" s="101"/>
      <c r="AI812" s="101"/>
      <c r="AJ812" s="101"/>
      <c r="AK812" s="101"/>
      <c r="AL812" s="101"/>
      <c r="AM812" s="101"/>
      <c r="AN812" s="101"/>
      <c r="AO812" s="101"/>
    </row>
    <row r="813" spans="1:41">
      <c r="A813" s="115"/>
      <c r="B813" s="116"/>
      <c r="C813" s="117"/>
      <c r="D813" s="116"/>
      <c r="E813" s="101"/>
      <c r="F813" s="101"/>
      <c r="G813" s="101"/>
      <c r="H813" s="101"/>
      <c r="I813" s="101"/>
      <c r="J813" s="101"/>
      <c r="K813" s="101"/>
      <c r="L813" s="101"/>
      <c r="M813" s="101"/>
      <c r="N813" s="101"/>
      <c r="O813" s="101"/>
      <c r="P813" s="101"/>
      <c r="Q813" s="101"/>
      <c r="R813" s="101"/>
      <c r="S813" s="101"/>
      <c r="T813" s="101"/>
      <c r="U813" s="101"/>
      <c r="V813" s="101"/>
      <c r="W813" s="101"/>
      <c r="X813" s="101"/>
      <c r="Y813" s="101"/>
      <c r="Z813" s="101"/>
      <c r="AA813" s="101"/>
      <c r="AB813" s="101"/>
      <c r="AC813" s="101"/>
      <c r="AD813" s="101"/>
      <c r="AE813" s="101"/>
      <c r="AF813" s="101"/>
      <c r="AG813" s="101"/>
      <c r="AH813" s="101"/>
      <c r="AI813" s="101"/>
      <c r="AJ813" s="101"/>
      <c r="AK813" s="101"/>
      <c r="AL813" s="101"/>
      <c r="AM813" s="101"/>
      <c r="AN813" s="101"/>
      <c r="AO813" s="101"/>
    </row>
    <row r="814" spans="1:41">
      <c r="A814" s="115"/>
      <c r="B814" s="116"/>
      <c r="C814" s="117"/>
      <c r="D814" s="116"/>
      <c r="E814" s="101"/>
      <c r="F814" s="101"/>
      <c r="G814" s="101"/>
      <c r="H814" s="101"/>
      <c r="I814" s="101"/>
      <c r="J814" s="101"/>
      <c r="K814" s="101"/>
      <c r="L814" s="101"/>
      <c r="M814" s="101"/>
      <c r="N814" s="101"/>
      <c r="O814" s="101"/>
      <c r="P814" s="101"/>
      <c r="Q814" s="101"/>
      <c r="R814" s="101"/>
      <c r="S814" s="101"/>
      <c r="T814" s="101"/>
      <c r="U814" s="101"/>
      <c r="V814" s="101"/>
      <c r="W814" s="101"/>
      <c r="X814" s="101"/>
      <c r="Y814" s="101"/>
      <c r="Z814" s="101"/>
      <c r="AA814" s="101"/>
      <c r="AB814" s="101"/>
      <c r="AC814" s="101"/>
      <c r="AD814" s="101"/>
      <c r="AE814" s="101"/>
      <c r="AF814" s="101"/>
      <c r="AG814" s="101"/>
      <c r="AH814" s="101"/>
      <c r="AI814" s="101"/>
      <c r="AJ814" s="101"/>
      <c r="AK814" s="101"/>
      <c r="AL814" s="101"/>
      <c r="AM814" s="101"/>
      <c r="AN814" s="101"/>
      <c r="AO814" s="101"/>
    </row>
    <row r="815" spans="1:41">
      <c r="A815" s="115"/>
      <c r="B815" s="116"/>
      <c r="C815" s="117"/>
      <c r="D815" s="116"/>
      <c r="E815" s="101"/>
      <c r="F815" s="101"/>
      <c r="G815" s="101"/>
      <c r="H815" s="101"/>
      <c r="I815" s="101"/>
      <c r="J815" s="101"/>
      <c r="K815" s="101"/>
      <c r="L815" s="101"/>
      <c r="M815" s="101"/>
      <c r="N815" s="101"/>
      <c r="O815" s="101"/>
      <c r="P815" s="101"/>
      <c r="Q815" s="101"/>
      <c r="R815" s="101"/>
      <c r="S815" s="101"/>
      <c r="T815" s="101"/>
      <c r="U815" s="101"/>
      <c r="V815" s="101"/>
      <c r="W815" s="101"/>
      <c r="X815" s="101"/>
      <c r="Y815" s="101"/>
      <c r="Z815" s="101"/>
      <c r="AA815" s="101"/>
      <c r="AB815" s="101"/>
      <c r="AC815" s="101"/>
      <c r="AD815" s="101"/>
      <c r="AE815" s="101"/>
      <c r="AF815" s="101"/>
      <c r="AG815" s="101"/>
      <c r="AH815" s="101"/>
      <c r="AI815" s="101"/>
      <c r="AJ815" s="101"/>
      <c r="AK815" s="101"/>
      <c r="AL815" s="101"/>
      <c r="AM815" s="101"/>
      <c r="AN815" s="101"/>
      <c r="AO815" s="101"/>
    </row>
    <row r="816" spans="1:41">
      <c r="A816" s="115"/>
      <c r="B816" s="116"/>
      <c r="C816" s="117"/>
      <c r="D816" s="116"/>
      <c r="E816" s="101"/>
      <c r="F816" s="101"/>
      <c r="G816" s="101"/>
      <c r="H816" s="101"/>
      <c r="I816" s="101"/>
      <c r="J816" s="101"/>
      <c r="K816" s="101"/>
      <c r="L816" s="101"/>
      <c r="M816" s="101"/>
      <c r="N816" s="101"/>
      <c r="O816" s="101"/>
      <c r="P816" s="101"/>
      <c r="Q816" s="101"/>
      <c r="R816" s="101"/>
      <c r="S816" s="101"/>
      <c r="T816" s="101"/>
      <c r="U816" s="101"/>
      <c r="V816" s="101"/>
      <c r="W816" s="101"/>
      <c r="X816" s="101"/>
      <c r="Y816" s="101"/>
      <c r="Z816" s="101"/>
      <c r="AA816" s="101"/>
      <c r="AB816" s="101"/>
      <c r="AC816" s="101"/>
      <c r="AD816" s="101"/>
      <c r="AE816" s="101"/>
      <c r="AF816" s="101"/>
      <c r="AG816" s="101"/>
      <c r="AH816" s="101"/>
      <c r="AI816" s="101"/>
      <c r="AJ816" s="101"/>
      <c r="AK816" s="101"/>
      <c r="AL816" s="101"/>
      <c r="AM816" s="101"/>
      <c r="AN816" s="101"/>
      <c r="AO816" s="101"/>
    </row>
    <row r="817" spans="1:41">
      <c r="A817" s="115"/>
      <c r="B817" s="116"/>
      <c r="C817" s="117"/>
      <c r="D817" s="116"/>
      <c r="E817" s="101"/>
      <c r="F817" s="101"/>
      <c r="G817" s="101"/>
      <c r="H817" s="101"/>
      <c r="I817" s="101"/>
      <c r="J817" s="101"/>
      <c r="K817" s="101"/>
      <c r="L817" s="101"/>
      <c r="M817" s="101"/>
      <c r="N817" s="101"/>
      <c r="O817" s="101"/>
      <c r="P817" s="101"/>
      <c r="Q817" s="101"/>
      <c r="R817" s="101"/>
      <c r="S817" s="101"/>
      <c r="T817" s="101"/>
      <c r="U817" s="101"/>
      <c r="V817" s="101"/>
      <c r="W817" s="101"/>
      <c r="X817" s="101"/>
      <c r="Y817" s="101"/>
      <c r="Z817" s="101"/>
      <c r="AA817" s="101"/>
      <c r="AB817" s="101"/>
      <c r="AC817" s="101"/>
      <c r="AD817" s="101"/>
      <c r="AE817" s="101"/>
      <c r="AF817" s="101"/>
      <c r="AG817" s="101"/>
      <c r="AH817" s="101"/>
      <c r="AI817" s="101"/>
      <c r="AJ817" s="101"/>
      <c r="AK817" s="101"/>
      <c r="AL817" s="101"/>
      <c r="AM817" s="101"/>
      <c r="AN817" s="101"/>
      <c r="AO817" s="101"/>
    </row>
    <row r="818" spans="1:41">
      <c r="A818" s="115"/>
      <c r="B818" s="116"/>
      <c r="C818" s="117"/>
      <c r="D818" s="116"/>
      <c r="E818" s="101"/>
      <c r="F818" s="101"/>
      <c r="G818" s="101"/>
      <c r="H818" s="101"/>
      <c r="I818" s="101"/>
      <c r="J818" s="101"/>
      <c r="K818" s="101"/>
      <c r="L818" s="101"/>
      <c r="M818" s="101"/>
      <c r="N818" s="101"/>
      <c r="O818" s="101"/>
      <c r="P818" s="101"/>
      <c r="Q818" s="101"/>
      <c r="R818" s="101"/>
      <c r="S818" s="101"/>
      <c r="T818" s="101"/>
      <c r="U818" s="101"/>
      <c r="V818" s="101"/>
      <c r="W818" s="101"/>
      <c r="X818" s="101"/>
      <c r="Y818" s="101"/>
      <c r="Z818" s="101"/>
      <c r="AA818" s="101"/>
      <c r="AB818" s="101"/>
      <c r="AC818" s="101"/>
      <c r="AD818" s="101"/>
      <c r="AE818" s="101"/>
      <c r="AF818" s="101"/>
      <c r="AG818" s="101"/>
      <c r="AH818" s="101"/>
      <c r="AI818" s="101"/>
      <c r="AJ818" s="101"/>
      <c r="AK818" s="101"/>
      <c r="AL818" s="101"/>
      <c r="AM818" s="101"/>
      <c r="AN818" s="101"/>
      <c r="AO818" s="101"/>
    </row>
    <row r="819" spans="1:41">
      <c r="A819" s="115"/>
      <c r="B819" s="116"/>
      <c r="C819" s="117"/>
      <c r="D819" s="116"/>
      <c r="E819" s="101"/>
      <c r="F819" s="101"/>
      <c r="G819" s="101"/>
      <c r="H819" s="101"/>
      <c r="I819" s="101"/>
      <c r="J819" s="101"/>
      <c r="K819" s="101"/>
      <c r="L819" s="101"/>
      <c r="M819" s="101"/>
      <c r="N819" s="101"/>
      <c r="O819" s="101"/>
      <c r="P819" s="101"/>
      <c r="Q819" s="101"/>
      <c r="R819" s="101"/>
      <c r="S819" s="101"/>
      <c r="T819" s="101"/>
      <c r="U819" s="101"/>
      <c r="V819" s="101"/>
      <c r="W819" s="101"/>
      <c r="X819" s="101"/>
      <c r="Y819" s="101"/>
      <c r="Z819" s="101"/>
      <c r="AA819" s="101"/>
      <c r="AB819" s="101"/>
      <c r="AC819" s="101"/>
      <c r="AD819" s="101"/>
      <c r="AE819" s="101"/>
      <c r="AF819" s="101"/>
      <c r="AG819" s="101"/>
      <c r="AH819" s="101"/>
      <c r="AI819" s="101"/>
      <c r="AJ819" s="101"/>
      <c r="AK819" s="101"/>
      <c r="AL819" s="101"/>
      <c r="AM819" s="101"/>
      <c r="AN819" s="101"/>
      <c r="AO819" s="101"/>
    </row>
    <row r="820" spans="1:41">
      <c r="A820" s="115"/>
      <c r="B820" s="116"/>
      <c r="C820" s="117"/>
      <c r="D820" s="116"/>
      <c r="E820" s="101"/>
      <c r="F820" s="101"/>
      <c r="G820" s="101"/>
      <c r="H820" s="101"/>
      <c r="I820" s="101"/>
      <c r="J820" s="101"/>
      <c r="K820" s="101"/>
      <c r="L820" s="101"/>
      <c r="M820" s="101"/>
      <c r="N820" s="101"/>
      <c r="O820" s="101"/>
      <c r="P820" s="101"/>
      <c r="Q820" s="101"/>
      <c r="R820" s="101"/>
      <c r="S820" s="101"/>
      <c r="T820" s="101"/>
      <c r="U820" s="101"/>
      <c r="V820" s="101"/>
      <c r="W820" s="101"/>
      <c r="X820" s="101"/>
      <c r="Y820" s="101"/>
      <c r="Z820" s="101"/>
      <c r="AA820" s="101"/>
      <c r="AB820" s="101"/>
      <c r="AC820" s="101"/>
      <c r="AD820" s="101"/>
      <c r="AE820" s="101"/>
      <c r="AF820" s="101"/>
      <c r="AG820" s="101"/>
      <c r="AH820" s="101"/>
      <c r="AI820" s="101"/>
      <c r="AJ820" s="101"/>
      <c r="AK820" s="101"/>
      <c r="AL820" s="101"/>
      <c r="AM820" s="101"/>
      <c r="AN820" s="101"/>
      <c r="AO820" s="101"/>
    </row>
    <row r="821" spans="1:41">
      <c r="A821" s="115"/>
      <c r="B821" s="116"/>
      <c r="C821" s="117"/>
      <c r="D821" s="116"/>
      <c r="E821" s="101"/>
      <c r="F821" s="101"/>
      <c r="G821" s="101"/>
      <c r="H821" s="101"/>
      <c r="I821" s="101"/>
      <c r="J821" s="101"/>
      <c r="K821" s="101"/>
      <c r="L821" s="101"/>
      <c r="M821" s="101"/>
      <c r="N821" s="101"/>
      <c r="O821" s="101"/>
      <c r="P821" s="101"/>
      <c r="Q821" s="101"/>
      <c r="R821" s="101"/>
      <c r="S821" s="101"/>
      <c r="T821" s="101"/>
      <c r="U821" s="101"/>
      <c r="V821" s="101"/>
      <c r="W821" s="101"/>
      <c r="X821" s="101"/>
      <c r="Y821" s="101"/>
      <c r="Z821" s="101"/>
      <c r="AA821" s="101"/>
      <c r="AB821" s="101"/>
      <c r="AC821" s="101"/>
      <c r="AD821" s="101"/>
      <c r="AE821" s="101"/>
      <c r="AF821" s="101"/>
      <c r="AG821" s="101"/>
      <c r="AH821" s="101"/>
      <c r="AI821" s="101"/>
      <c r="AJ821" s="101"/>
      <c r="AK821" s="101"/>
      <c r="AL821" s="101"/>
      <c r="AM821" s="101"/>
      <c r="AN821" s="101"/>
      <c r="AO821" s="101"/>
    </row>
    <row r="822" spans="1:41">
      <c r="A822" s="115"/>
      <c r="B822" s="116"/>
      <c r="C822" s="117"/>
      <c r="D822" s="116"/>
      <c r="E822" s="101"/>
      <c r="F822" s="101"/>
      <c r="G822" s="101"/>
      <c r="H822" s="101"/>
      <c r="I822" s="101"/>
      <c r="J822" s="101"/>
      <c r="K822" s="101"/>
      <c r="L822" s="101"/>
      <c r="M822" s="101"/>
      <c r="N822" s="101"/>
      <c r="O822" s="101"/>
      <c r="P822" s="101"/>
      <c r="Q822" s="101"/>
      <c r="R822" s="101"/>
      <c r="S822" s="101"/>
      <c r="T822" s="101"/>
      <c r="U822" s="101"/>
      <c r="V822" s="101"/>
      <c r="W822" s="101"/>
      <c r="X822" s="101"/>
      <c r="Y822" s="101"/>
      <c r="Z822" s="101"/>
      <c r="AA822" s="101"/>
      <c r="AB822" s="101"/>
      <c r="AC822" s="101"/>
      <c r="AD822" s="101"/>
      <c r="AE822" s="101"/>
      <c r="AF822" s="101"/>
      <c r="AG822" s="101"/>
      <c r="AH822" s="101"/>
      <c r="AI822" s="101"/>
      <c r="AJ822" s="101"/>
      <c r="AK822" s="101"/>
      <c r="AL822" s="101"/>
      <c r="AM822" s="101"/>
      <c r="AN822" s="101"/>
      <c r="AO822" s="101"/>
    </row>
    <row r="823" spans="1:41">
      <c r="A823" s="115"/>
      <c r="B823" s="116"/>
      <c r="C823" s="117"/>
      <c r="D823" s="116"/>
      <c r="E823" s="101"/>
      <c r="F823" s="101"/>
      <c r="G823" s="101"/>
      <c r="H823" s="101"/>
      <c r="I823" s="101"/>
      <c r="J823" s="101"/>
      <c r="K823" s="101"/>
      <c r="L823" s="101"/>
      <c r="M823" s="101"/>
      <c r="N823" s="101"/>
      <c r="O823" s="101"/>
      <c r="P823" s="101"/>
      <c r="Q823" s="101"/>
      <c r="R823" s="101"/>
      <c r="S823" s="101"/>
      <c r="T823" s="101"/>
      <c r="U823" s="101"/>
      <c r="V823" s="101"/>
      <c r="W823" s="101"/>
      <c r="X823" s="101"/>
      <c r="Y823" s="101"/>
      <c r="Z823" s="101"/>
      <c r="AA823" s="101"/>
      <c r="AB823" s="101"/>
      <c r="AC823" s="101"/>
      <c r="AD823" s="101"/>
      <c r="AE823" s="101"/>
      <c r="AF823" s="101"/>
      <c r="AG823" s="101"/>
      <c r="AH823" s="101"/>
      <c r="AI823" s="101"/>
      <c r="AJ823" s="101"/>
      <c r="AK823" s="101"/>
      <c r="AL823" s="101"/>
      <c r="AM823" s="101"/>
      <c r="AN823" s="101"/>
      <c r="AO823" s="101"/>
    </row>
    <row r="824" spans="1:41">
      <c r="A824" s="115"/>
      <c r="B824" s="116"/>
      <c r="C824" s="117"/>
      <c r="D824" s="116"/>
      <c r="E824" s="101"/>
      <c r="F824" s="101"/>
      <c r="G824" s="101"/>
      <c r="H824" s="101"/>
      <c r="I824" s="101"/>
      <c r="J824" s="101"/>
      <c r="K824" s="101"/>
      <c r="L824" s="101"/>
      <c r="M824" s="101"/>
      <c r="N824" s="101"/>
      <c r="O824" s="101"/>
      <c r="P824" s="101"/>
      <c r="Q824" s="101"/>
      <c r="R824" s="101"/>
      <c r="S824" s="101"/>
      <c r="T824" s="101"/>
      <c r="U824" s="101"/>
      <c r="V824" s="101"/>
      <c r="W824" s="101"/>
      <c r="X824" s="101"/>
      <c r="Y824" s="101"/>
      <c r="Z824" s="101"/>
      <c r="AA824" s="101"/>
      <c r="AB824" s="101"/>
      <c r="AC824" s="101"/>
      <c r="AD824" s="101"/>
      <c r="AE824" s="101"/>
      <c r="AF824" s="101"/>
      <c r="AG824" s="101"/>
      <c r="AH824" s="101"/>
      <c r="AI824" s="101"/>
      <c r="AJ824" s="101"/>
      <c r="AK824" s="101"/>
      <c r="AL824" s="101"/>
      <c r="AM824" s="101"/>
      <c r="AN824" s="101"/>
      <c r="AO824" s="101"/>
    </row>
    <row r="825" spans="1:41">
      <c r="A825" s="115"/>
      <c r="B825" s="116"/>
      <c r="C825" s="117"/>
      <c r="D825" s="116"/>
      <c r="E825" s="101"/>
      <c r="F825" s="101"/>
      <c r="G825" s="101"/>
      <c r="H825" s="101"/>
      <c r="I825" s="101"/>
      <c r="J825" s="101"/>
      <c r="K825" s="101"/>
      <c r="L825" s="101"/>
      <c r="M825" s="101"/>
      <c r="N825" s="101"/>
      <c r="O825" s="101"/>
      <c r="P825" s="101"/>
      <c r="Q825" s="101"/>
      <c r="R825" s="101"/>
      <c r="S825" s="101"/>
      <c r="T825" s="101"/>
      <c r="U825" s="101"/>
      <c r="V825" s="101"/>
      <c r="W825" s="101"/>
      <c r="X825" s="101"/>
      <c r="Y825" s="101"/>
      <c r="Z825" s="101"/>
      <c r="AA825" s="101"/>
      <c r="AB825" s="101"/>
      <c r="AC825" s="101"/>
      <c r="AD825" s="101"/>
      <c r="AE825" s="101"/>
      <c r="AF825" s="101"/>
      <c r="AG825" s="101"/>
      <c r="AH825" s="101"/>
      <c r="AI825" s="101"/>
      <c r="AJ825" s="101"/>
      <c r="AK825" s="101"/>
      <c r="AL825" s="101"/>
      <c r="AM825" s="101"/>
      <c r="AN825" s="101"/>
      <c r="AO825" s="101"/>
    </row>
    <row r="826" spans="1:41">
      <c r="A826" s="115"/>
      <c r="B826" s="116"/>
      <c r="C826" s="117"/>
      <c r="D826" s="116"/>
      <c r="E826" s="101"/>
      <c r="F826" s="101"/>
      <c r="G826" s="101"/>
      <c r="H826" s="101"/>
      <c r="I826" s="101"/>
      <c r="J826" s="101"/>
      <c r="K826" s="101"/>
      <c r="L826" s="101"/>
      <c r="M826" s="101"/>
      <c r="N826" s="101"/>
      <c r="O826" s="101"/>
      <c r="P826" s="101"/>
      <c r="Q826" s="101"/>
      <c r="R826" s="101"/>
      <c r="S826" s="101"/>
      <c r="T826" s="101"/>
      <c r="U826" s="101"/>
      <c r="V826" s="101"/>
      <c r="W826" s="101"/>
      <c r="X826" s="101"/>
      <c r="Y826" s="101"/>
      <c r="Z826" s="101"/>
      <c r="AA826" s="101"/>
      <c r="AB826" s="101"/>
      <c r="AC826" s="101"/>
      <c r="AD826" s="101"/>
      <c r="AE826" s="101"/>
      <c r="AF826" s="101"/>
      <c r="AG826" s="101"/>
      <c r="AH826" s="101"/>
      <c r="AI826" s="101"/>
      <c r="AJ826" s="101"/>
      <c r="AK826" s="101"/>
      <c r="AL826" s="101"/>
      <c r="AM826" s="101"/>
      <c r="AN826" s="101"/>
      <c r="AO826" s="101"/>
    </row>
    <row r="827" spans="1:41">
      <c r="A827" s="115"/>
      <c r="B827" s="116"/>
      <c r="C827" s="117"/>
      <c r="D827" s="116"/>
      <c r="E827" s="101"/>
      <c r="F827" s="101"/>
      <c r="G827" s="101"/>
      <c r="H827" s="101"/>
      <c r="I827" s="101"/>
      <c r="J827" s="101"/>
      <c r="K827" s="101"/>
      <c r="L827" s="101"/>
      <c r="M827" s="101"/>
      <c r="N827" s="101"/>
      <c r="O827" s="101"/>
      <c r="P827" s="101"/>
      <c r="Q827" s="101"/>
      <c r="R827" s="101"/>
      <c r="S827" s="101"/>
      <c r="T827" s="101"/>
      <c r="U827" s="101"/>
      <c r="V827" s="101"/>
      <c r="W827" s="101"/>
      <c r="X827" s="101"/>
      <c r="Y827" s="101"/>
      <c r="Z827" s="101"/>
      <c r="AA827" s="101"/>
      <c r="AB827" s="101"/>
      <c r="AC827" s="101"/>
      <c r="AD827" s="101"/>
      <c r="AE827" s="101"/>
      <c r="AF827" s="101"/>
      <c r="AG827" s="101"/>
      <c r="AH827" s="101"/>
      <c r="AI827" s="101"/>
      <c r="AJ827" s="101"/>
      <c r="AK827" s="101"/>
      <c r="AL827" s="101"/>
      <c r="AM827" s="101"/>
      <c r="AN827" s="101"/>
      <c r="AO827" s="101"/>
    </row>
    <row r="828" spans="1:41">
      <c r="A828" s="115"/>
      <c r="B828" s="116"/>
      <c r="C828" s="117"/>
      <c r="D828" s="116"/>
      <c r="E828" s="101"/>
      <c r="F828" s="101"/>
      <c r="G828" s="101"/>
      <c r="H828" s="101"/>
      <c r="I828" s="101"/>
      <c r="J828" s="101"/>
      <c r="K828" s="101"/>
      <c r="L828" s="101"/>
      <c r="M828" s="101"/>
      <c r="N828" s="101"/>
      <c r="O828" s="101"/>
      <c r="P828" s="101"/>
      <c r="Q828" s="101"/>
      <c r="R828" s="101"/>
      <c r="S828" s="101"/>
      <c r="T828" s="101"/>
      <c r="U828" s="101"/>
      <c r="V828" s="101"/>
      <c r="W828" s="101"/>
      <c r="X828" s="101"/>
      <c r="Y828" s="101"/>
      <c r="Z828" s="101"/>
      <c r="AA828" s="101"/>
      <c r="AB828" s="101"/>
      <c r="AC828" s="101"/>
      <c r="AD828" s="101"/>
      <c r="AE828" s="101"/>
      <c r="AF828" s="101"/>
      <c r="AG828" s="101"/>
      <c r="AH828" s="101"/>
      <c r="AI828" s="101"/>
      <c r="AJ828" s="101"/>
      <c r="AK828" s="101"/>
      <c r="AL828" s="101"/>
      <c r="AM828" s="101"/>
      <c r="AN828" s="101"/>
      <c r="AO828" s="101"/>
    </row>
    <row r="829" spans="1:41">
      <c r="A829" s="115"/>
      <c r="B829" s="116"/>
      <c r="C829" s="117"/>
      <c r="D829" s="116"/>
      <c r="E829" s="101"/>
      <c r="F829" s="101"/>
      <c r="G829" s="101"/>
      <c r="H829" s="101"/>
      <c r="I829" s="101"/>
      <c r="J829" s="101"/>
      <c r="K829" s="101"/>
      <c r="L829" s="101"/>
      <c r="M829" s="101"/>
      <c r="N829" s="101"/>
      <c r="O829" s="101"/>
      <c r="P829" s="101"/>
      <c r="Q829" s="101"/>
      <c r="R829" s="101"/>
      <c r="S829" s="101"/>
      <c r="T829" s="101"/>
      <c r="U829" s="101"/>
      <c r="V829" s="101"/>
      <c r="W829" s="101"/>
      <c r="X829" s="101"/>
      <c r="Y829" s="101"/>
      <c r="Z829" s="101"/>
      <c r="AA829" s="101"/>
      <c r="AB829" s="101"/>
      <c r="AC829" s="101"/>
      <c r="AD829" s="101"/>
      <c r="AE829" s="101"/>
      <c r="AF829" s="101"/>
      <c r="AG829" s="101"/>
      <c r="AH829" s="101"/>
      <c r="AI829" s="101"/>
      <c r="AJ829" s="101"/>
      <c r="AK829" s="101"/>
      <c r="AL829" s="101"/>
      <c r="AM829" s="101"/>
      <c r="AN829" s="101"/>
      <c r="AO829" s="101"/>
    </row>
    <row r="830" spans="1:41">
      <c r="A830" s="115"/>
      <c r="B830" s="116"/>
      <c r="C830" s="117"/>
      <c r="D830" s="116"/>
      <c r="E830" s="101"/>
      <c r="F830" s="101"/>
      <c r="G830" s="101"/>
      <c r="H830" s="101"/>
      <c r="I830" s="101"/>
      <c r="J830" s="101"/>
      <c r="K830" s="101"/>
      <c r="L830" s="101"/>
      <c r="M830" s="101"/>
      <c r="N830" s="101"/>
      <c r="O830" s="101"/>
      <c r="P830" s="101"/>
      <c r="Q830" s="101"/>
      <c r="R830" s="101"/>
      <c r="S830" s="101"/>
      <c r="T830" s="101"/>
      <c r="U830" s="101"/>
      <c r="V830" s="101"/>
      <c r="W830" s="101"/>
      <c r="X830" s="101"/>
      <c r="Y830" s="101"/>
      <c r="Z830" s="101"/>
      <c r="AA830" s="101"/>
      <c r="AB830" s="101"/>
      <c r="AC830" s="101"/>
      <c r="AD830" s="101"/>
      <c r="AE830" s="101"/>
      <c r="AF830" s="101"/>
      <c r="AG830" s="101"/>
      <c r="AH830" s="101"/>
      <c r="AI830" s="101"/>
      <c r="AJ830" s="101"/>
      <c r="AK830" s="101"/>
      <c r="AL830" s="101"/>
      <c r="AM830" s="101"/>
      <c r="AN830" s="101"/>
      <c r="AO830" s="101"/>
    </row>
    <row r="831" spans="1:41">
      <c r="A831" s="115"/>
      <c r="B831" s="116"/>
      <c r="C831" s="117"/>
      <c r="D831" s="116"/>
      <c r="E831" s="101"/>
      <c r="F831" s="101"/>
      <c r="G831" s="101"/>
      <c r="H831" s="101"/>
      <c r="I831" s="101"/>
      <c r="J831" s="101"/>
      <c r="K831" s="101"/>
      <c r="L831" s="101"/>
      <c r="M831" s="101"/>
      <c r="N831" s="101"/>
      <c r="O831" s="101"/>
      <c r="P831" s="101"/>
      <c r="Q831" s="101"/>
      <c r="R831" s="101"/>
      <c r="S831" s="101"/>
      <c r="T831" s="101"/>
      <c r="U831" s="101"/>
      <c r="V831" s="101"/>
      <c r="W831" s="101"/>
      <c r="X831" s="101"/>
      <c r="Y831" s="101"/>
      <c r="Z831" s="101"/>
      <c r="AA831" s="101"/>
      <c r="AB831" s="101"/>
      <c r="AC831" s="101"/>
      <c r="AD831" s="101"/>
      <c r="AE831" s="101"/>
      <c r="AF831" s="101"/>
      <c r="AG831" s="101"/>
      <c r="AH831" s="101"/>
      <c r="AI831" s="101"/>
      <c r="AJ831" s="101"/>
      <c r="AK831" s="101"/>
      <c r="AL831" s="101"/>
      <c r="AM831" s="101"/>
      <c r="AN831" s="101"/>
      <c r="AO831" s="101"/>
    </row>
    <row r="832" spans="1:41">
      <c r="A832" s="115"/>
      <c r="B832" s="116"/>
      <c r="C832" s="117"/>
      <c r="D832" s="116"/>
      <c r="E832" s="101"/>
      <c r="F832" s="101"/>
      <c r="G832" s="101"/>
      <c r="H832" s="101"/>
      <c r="I832" s="101"/>
      <c r="J832" s="101"/>
      <c r="K832" s="101"/>
      <c r="L832" s="101"/>
      <c r="M832" s="101"/>
      <c r="N832" s="101"/>
      <c r="O832" s="101"/>
      <c r="P832" s="101"/>
      <c r="Q832" s="101"/>
      <c r="R832" s="101"/>
      <c r="S832" s="101"/>
      <c r="T832" s="101"/>
      <c r="U832" s="101"/>
      <c r="V832" s="101"/>
      <c r="W832" s="101"/>
      <c r="X832" s="101"/>
      <c r="Y832" s="101"/>
      <c r="Z832" s="101"/>
      <c r="AA832" s="101"/>
      <c r="AB832" s="101"/>
      <c r="AC832" s="101"/>
      <c r="AD832" s="101"/>
      <c r="AE832" s="101"/>
      <c r="AF832" s="101"/>
      <c r="AG832" s="101"/>
      <c r="AH832" s="101"/>
      <c r="AI832" s="101"/>
      <c r="AJ832" s="101"/>
      <c r="AK832" s="101"/>
      <c r="AL832" s="101"/>
      <c r="AM832" s="101"/>
      <c r="AN832" s="101"/>
      <c r="AO832" s="101"/>
    </row>
    <row r="833" spans="1:41">
      <c r="A833" s="115"/>
      <c r="B833" s="116"/>
      <c r="C833" s="117"/>
      <c r="D833" s="116"/>
      <c r="E833" s="101"/>
      <c r="F833" s="101"/>
      <c r="G833" s="101"/>
      <c r="H833" s="101"/>
      <c r="I833" s="101"/>
      <c r="J833" s="101"/>
      <c r="K833" s="101"/>
      <c r="L833" s="101"/>
      <c r="M833" s="101"/>
      <c r="N833" s="101"/>
      <c r="O833" s="101"/>
      <c r="P833" s="101"/>
      <c r="Q833" s="101"/>
      <c r="R833" s="101"/>
      <c r="S833" s="101"/>
      <c r="T833" s="101"/>
      <c r="U833" s="101"/>
      <c r="V833" s="101"/>
      <c r="W833" s="101"/>
      <c r="X833" s="101"/>
      <c r="Y833" s="101"/>
      <c r="Z833" s="101"/>
      <c r="AA833" s="101"/>
      <c r="AB833" s="101"/>
      <c r="AC833" s="101"/>
      <c r="AD833" s="101"/>
      <c r="AE833" s="101"/>
      <c r="AF833" s="101"/>
      <c r="AG833" s="101"/>
      <c r="AH833" s="101"/>
      <c r="AI833" s="101"/>
      <c r="AJ833" s="101"/>
      <c r="AK833" s="101"/>
      <c r="AL833" s="101"/>
      <c r="AM833" s="101"/>
      <c r="AN833" s="101"/>
      <c r="AO833" s="101"/>
    </row>
    <row r="834" spans="1:41">
      <c r="A834" s="115"/>
      <c r="B834" s="116"/>
      <c r="C834" s="117"/>
      <c r="D834" s="116"/>
      <c r="E834" s="101"/>
      <c r="F834" s="101"/>
      <c r="G834" s="101"/>
      <c r="H834" s="101"/>
      <c r="I834" s="101"/>
      <c r="J834" s="101"/>
      <c r="K834" s="101"/>
      <c r="L834" s="101"/>
      <c r="M834" s="101"/>
      <c r="N834" s="101"/>
      <c r="O834" s="101"/>
      <c r="P834" s="101"/>
      <c r="Q834" s="101"/>
      <c r="R834" s="101"/>
      <c r="S834" s="101"/>
      <c r="T834" s="101"/>
      <c r="U834" s="101"/>
      <c r="V834" s="101"/>
      <c r="W834" s="101"/>
      <c r="X834" s="101"/>
      <c r="Y834" s="101"/>
      <c r="Z834" s="101"/>
      <c r="AA834" s="101"/>
      <c r="AB834" s="101"/>
      <c r="AC834" s="101"/>
      <c r="AD834" s="101"/>
      <c r="AE834" s="101"/>
      <c r="AF834" s="101"/>
      <c r="AG834" s="101"/>
      <c r="AH834" s="101"/>
      <c r="AI834" s="101"/>
      <c r="AJ834" s="101"/>
      <c r="AK834" s="101"/>
      <c r="AL834" s="101"/>
      <c r="AM834" s="101"/>
      <c r="AN834" s="101"/>
      <c r="AO834" s="101"/>
    </row>
    <row r="835" spans="1:41">
      <c r="A835" s="115"/>
      <c r="B835" s="116"/>
      <c r="C835" s="117"/>
      <c r="D835" s="116"/>
      <c r="E835" s="101"/>
      <c r="F835" s="101"/>
      <c r="G835" s="101"/>
      <c r="H835" s="101"/>
      <c r="I835" s="101"/>
      <c r="J835" s="101"/>
      <c r="K835" s="101"/>
      <c r="L835" s="101"/>
      <c r="M835" s="101"/>
      <c r="N835" s="101"/>
      <c r="O835" s="101"/>
      <c r="P835" s="101"/>
      <c r="Q835" s="101"/>
      <c r="R835" s="101"/>
      <c r="S835" s="101"/>
      <c r="T835" s="101"/>
      <c r="U835" s="101"/>
      <c r="V835" s="101"/>
      <c r="W835" s="101"/>
      <c r="X835" s="101"/>
      <c r="Y835" s="101"/>
      <c r="Z835" s="101"/>
      <c r="AA835" s="101"/>
      <c r="AB835" s="101"/>
      <c r="AC835" s="101"/>
      <c r="AD835" s="101"/>
      <c r="AE835" s="101"/>
      <c r="AF835" s="101"/>
      <c r="AG835" s="101"/>
      <c r="AH835" s="101"/>
      <c r="AI835" s="101"/>
      <c r="AJ835" s="101"/>
      <c r="AK835" s="101"/>
      <c r="AL835" s="101"/>
      <c r="AM835" s="101"/>
      <c r="AN835" s="101"/>
      <c r="AO835" s="101"/>
    </row>
    <row r="836" spans="1:41">
      <c r="A836" s="115"/>
      <c r="B836" s="116"/>
      <c r="C836" s="117"/>
      <c r="D836" s="116"/>
      <c r="E836" s="101"/>
      <c r="F836" s="101"/>
      <c r="G836" s="101"/>
      <c r="H836" s="101"/>
      <c r="I836" s="101"/>
      <c r="J836" s="101"/>
      <c r="K836" s="101"/>
      <c r="L836" s="101"/>
      <c r="M836" s="101"/>
      <c r="N836" s="101"/>
      <c r="O836" s="101"/>
      <c r="P836" s="101"/>
      <c r="Q836" s="101"/>
      <c r="R836" s="101"/>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row>
    <row r="837" spans="1:41">
      <c r="A837" s="115"/>
      <c r="B837" s="116"/>
      <c r="C837" s="117"/>
      <c r="D837" s="116"/>
      <c r="E837" s="101"/>
      <c r="F837" s="101"/>
      <c r="G837" s="101"/>
      <c r="H837" s="101"/>
      <c r="I837" s="101"/>
      <c r="J837" s="101"/>
      <c r="K837" s="101"/>
      <c r="L837" s="101"/>
      <c r="M837" s="101"/>
      <c r="N837" s="101"/>
      <c r="O837" s="101"/>
      <c r="P837" s="101"/>
      <c r="Q837" s="101"/>
      <c r="R837" s="101"/>
      <c r="S837" s="101"/>
      <c r="T837" s="101"/>
      <c r="U837" s="101"/>
      <c r="V837" s="101"/>
      <c r="W837" s="101"/>
      <c r="X837" s="101"/>
      <c r="Y837" s="101"/>
      <c r="Z837" s="101"/>
      <c r="AA837" s="101"/>
      <c r="AB837" s="101"/>
      <c r="AC837" s="101"/>
      <c r="AD837" s="101"/>
      <c r="AE837" s="101"/>
      <c r="AF837" s="101"/>
      <c r="AG837" s="101"/>
      <c r="AH837" s="101"/>
      <c r="AI837" s="101"/>
      <c r="AJ837" s="101"/>
      <c r="AK837" s="101"/>
      <c r="AL837" s="101"/>
      <c r="AM837" s="101"/>
      <c r="AN837" s="101"/>
      <c r="AO837" s="101"/>
    </row>
    <row r="838" spans="1:41">
      <c r="A838" s="115"/>
      <c r="B838" s="116"/>
      <c r="C838" s="117"/>
      <c r="D838" s="116"/>
      <c r="E838" s="101"/>
      <c r="F838" s="101"/>
      <c r="G838" s="101"/>
      <c r="H838" s="101"/>
      <c r="I838" s="101"/>
      <c r="J838" s="101"/>
      <c r="K838" s="101"/>
      <c r="L838" s="101"/>
      <c r="M838" s="101"/>
      <c r="N838" s="101"/>
      <c r="O838" s="101"/>
      <c r="P838" s="101"/>
      <c r="Q838" s="101"/>
      <c r="R838" s="101"/>
      <c r="S838" s="101"/>
      <c r="T838" s="101"/>
      <c r="U838" s="101"/>
      <c r="V838" s="101"/>
      <c r="W838" s="101"/>
      <c r="X838" s="101"/>
      <c r="Y838" s="101"/>
      <c r="Z838" s="101"/>
      <c r="AA838" s="101"/>
      <c r="AB838" s="101"/>
      <c r="AC838" s="101"/>
      <c r="AD838" s="101"/>
      <c r="AE838" s="101"/>
      <c r="AF838" s="101"/>
      <c r="AG838" s="101"/>
      <c r="AH838" s="101"/>
      <c r="AI838" s="101"/>
      <c r="AJ838" s="101"/>
      <c r="AK838" s="101"/>
      <c r="AL838" s="101"/>
      <c r="AM838" s="101"/>
      <c r="AN838" s="101"/>
      <c r="AO838" s="101"/>
    </row>
    <row r="839" spans="1:41">
      <c r="A839" s="115"/>
      <c r="B839" s="116"/>
      <c r="C839" s="117"/>
      <c r="D839" s="116"/>
      <c r="E839" s="101"/>
      <c r="F839" s="101"/>
      <c r="G839" s="101"/>
      <c r="H839" s="101"/>
      <c r="I839" s="101"/>
      <c r="J839" s="101"/>
      <c r="K839" s="101"/>
      <c r="L839" s="101"/>
      <c r="M839" s="101"/>
      <c r="N839" s="101"/>
      <c r="O839" s="101"/>
      <c r="P839" s="101"/>
      <c r="Q839" s="101"/>
      <c r="R839" s="101"/>
      <c r="S839" s="101"/>
      <c r="T839" s="101"/>
      <c r="U839" s="101"/>
      <c r="V839" s="101"/>
      <c r="W839" s="101"/>
      <c r="X839" s="101"/>
      <c r="Y839" s="101"/>
      <c r="Z839" s="101"/>
      <c r="AA839" s="101"/>
      <c r="AB839" s="101"/>
      <c r="AC839" s="101"/>
      <c r="AD839" s="101"/>
      <c r="AE839" s="101"/>
      <c r="AF839" s="101"/>
      <c r="AG839" s="101"/>
      <c r="AH839" s="101"/>
      <c r="AI839" s="101"/>
      <c r="AJ839" s="101"/>
      <c r="AK839" s="101"/>
      <c r="AL839" s="101"/>
      <c r="AM839" s="101"/>
      <c r="AN839" s="101"/>
      <c r="AO839" s="101"/>
    </row>
    <row r="840" spans="1:41">
      <c r="A840" s="115"/>
      <c r="B840" s="116"/>
      <c r="C840" s="117"/>
      <c r="D840" s="116"/>
      <c r="E840" s="101"/>
      <c r="F840" s="101"/>
      <c r="G840" s="101"/>
      <c r="H840" s="101"/>
      <c r="I840" s="101"/>
      <c r="J840" s="101"/>
      <c r="K840" s="101"/>
      <c r="L840" s="101"/>
      <c r="M840" s="101"/>
      <c r="N840" s="101"/>
      <c r="O840" s="101"/>
      <c r="P840" s="101"/>
      <c r="Q840" s="101"/>
      <c r="R840" s="101"/>
      <c r="S840" s="101"/>
      <c r="T840" s="101"/>
      <c r="U840" s="101"/>
      <c r="V840" s="101"/>
      <c r="W840" s="101"/>
      <c r="X840" s="101"/>
      <c r="Y840" s="101"/>
      <c r="Z840" s="101"/>
      <c r="AA840" s="101"/>
      <c r="AB840" s="101"/>
      <c r="AC840" s="101"/>
      <c r="AD840" s="101"/>
      <c r="AE840" s="101"/>
      <c r="AF840" s="101"/>
      <c r="AG840" s="101"/>
      <c r="AH840" s="101"/>
      <c r="AI840" s="101"/>
      <c r="AJ840" s="101"/>
      <c r="AK840" s="101"/>
      <c r="AL840" s="101"/>
      <c r="AM840" s="101"/>
      <c r="AN840" s="101"/>
      <c r="AO840" s="101"/>
    </row>
    <row r="841" spans="1:41">
      <c r="A841" s="115"/>
      <c r="B841" s="116"/>
      <c r="C841" s="117"/>
      <c r="D841" s="116"/>
      <c r="E841" s="101"/>
      <c r="F841" s="101"/>
      <c r="G841" s="101"/>
      <c r="H841" s="101"/>
      <c r="I841" s="101"/>
      <c r="J841" s="101"/>
      <c r="K841" s="101"/>
      <c r="L841" s="101"/>
      <c r="M841" s="101"/>
      <c r="N841" s="101"/>
      <c r="O841" s="101"/>
      <c r="P841" s="101"/>
      <c r="Q841" s="101"/>
      <c r="R841" s="101"/>
      <c r="S841" s="101"/>
      <c r="T841" s="101"/>
      <c r="U841" s="101"/>
      <c r="V841" s="101"/>
      <c r="W841" s="101"/>
      <c r="X841" s="101"/>
      <c r="Y841" s="101"/>
      <c r="Z841" s="101"/>
      <c r="AA841" s="101"/>
      <c r="AB841" s="101"/>
      <c r="AC841" s="101"/>
      <c r="AD841" s="101"/>
      <c r="AE841" s="101"/>
      <c r="AF841" s="101"/>
      <c r="AG841" s="101"/>
      <c r="AH841" s="101"/>
      <c r="AI841" s="101"/>
      <c r="AJ841" s="101"/>
      <c r="AK841" s="101"/>
      <c r="AL841" s="101"/>
      <c r="AM841" s="101"/>
      <c r="AN841" s="101"/>
      <c r="AO841" s="101"/>
    </row>
    <row r="842" spans="1:41">
      <c r="A842" s="115"/>
      <c r="B842" s="116"/>
      <c r="C842" s="117"/>
      <c r="D842" s="116"/>
      <c r="E842" s="101"/>
      <c r="F842" s="101"/>
      <c r="G842" s="101"/>
      <c r="H842" s="101"/>
      <c r="I842" s="101"/>
      <c r="J842" s="101"/>
      <c r="K842" s="101"/>
      <c r="L842" s="101"/>
      <c r="M842" s="101"/>
      <c r="N842" s="101"/>
      <c r="O842" s="101"/>
      <c r="P842" s="101"/>
      <c r="Q842" s="101"/>
      <c r="R842" s="101"/>
      <c r="S842" s="101"/>
      <c r="T842" s="101"/>
      <c r="U842" s="101"/>
      <c r="V842" s="101"/>
      <c r="W842" s="101"/>
      <c r="X842" s="101"/>
      <c r="Y842" s="101"/>
      <c r="Z842" s="101"/>
      <c r="AA842" s="101"/>
      <c r="AB842" s="101"/>
      <c r="AC842" s="101"/>
      <c r="AD842" s="101"/>
      <c r="AE842" s="101"/>
      <c r="AF842" s="101"/>
      <c r="AG842" s="101"/>
      <c r="AH842" s="101"/>
      <c r="AI842" s="101"/>
      <c r="AJ842" s="101"/>
      <c r="AK842" s="101"/>
      <c r="AL842" s="101"/>
      <c r="AM842" s="101"/>
      <c r="AN842" s="101"/>
      <c r="AO842" s="101"/>
    </row>
    <row r="843" spans="1:41">
      <c r="A843" s="115"/>
      <c r="B843" s="116"/>
      <c r="C843" s="117"/>
      <c r="D843" s="116"/>
      <c r="E843" s="101"/>
      <c r="F843" s="101"/>
      <c r="G843" s="101"/>
      <c r="H843" s="101"/>
      <c r="I843" s="101"/>
      <c r="J843" s="101"/>
      <c r="K843" s="101"/>
      <c r="L843" s="101"/>
      <c r="M843" s="101"/>
      <c r="N843" s="101"/>
      <c r="O843" s="101"/>
      <c r="P843" s="101"/>
      <c r="Q843" s="101"/>
      <c r="R843" s="101"/>
      <c r="S843" s="101"/>
      <c r="T843" s="101"/>
      <c r="U843" s="101"/>
      <c r="V843" s="101"/>
      <c r="W843" s="101"/>
      <c r="X843" s="101"/>
      <c r="Y843" s="101"/>
      <c r="Z843" s="101"/>
      <c r="AA843" s="101"/>
      <c r="AB843" s="101"/>
      <c r="AC843" s="101"/>
      <c r="AD843" s="101"/>
      <c r="AE843" s="101"/>
      <c r="AF843" s="101"/>
      <c r="AG843" s="101"/>
      <c r="AH843" s="101"/>
      <c r="AI843" s="101"/>
      <c r="AJ843" s="101"/>
      <c r="AK843" s="101"/>
      <c r="AL843" s="101"/>
      <c r="AM843" s="101"/>
      <c r="AN843" s="101"/>
      <c r="AO843" s="101"/>
    </row>
    <row r="844" spans="1:41">
      <c r="A844" s="115"/>
      <c r="B844" s="116"/>
      <c r="C844" s="117"/>
      <c r="D844" s="116"/>
      <c r="E844" s="101"/>
      <c r="F844" s="101"/>
      <c r="G844" s="101"/>
      <c r="H844" s="101"/>
      <c r="I844" s="101"/>
      <c r="J844" s="101"/>
      <c r="K844" s="101"/>
      <c r="L844" s="101"/>
      <c r="M844" s="101"/>
      <c r="N844" s="101"/>
      <c r="O844" s="101"/>
      <c r="P844" s="101"/>
      <c r="Q844" s="101"/>
      <c r="R844" s="101"/>
      <c r="S844" s="101"/>
      <c r="T844" s="101"/>
      <c r="U844" s="101"/>
      <c r="V844" s="101"/>
      <c r="W844" s="101"/>
      <c r="X844" s="101"/>
      <c r="Y844" s="101"/>
      <c r="Z844" s="101"/>
      <c r="AA844" s="101"/>
      <c r="AB844" s="101"/>
      <c r="AC844" s="101"/>
      <c r="AD844" s="101"/>
      <c r="AE844" s="101"/>
      <c r="AF844" s="101"/>
      <c r="AG844" s="101"/>
      <c r="AH844" s="101"/>
      <c r="AI844" s="101"/>
      <c r="AJ844" s="101"/>
      <c r="AK844" s="101"/>
      <c r="AL844" s="101"/>
      <c r="AM844" s="101"/>
      <c r="AN844" s="101"/>
      <c r="AO844" s="101"/>
    </row>
    <row r="845" spans="1:41">
      <c r="A845" s="115"/>
      <c r="B845" s="116"/>
      <c r="C845" s="117"/>
      <c r="D845" s="116"/>
      <c r="E845" s="101"/>
      <c r="F845" s="101"/>
      <c r="G845" s="101"/>
      <c r="H845" s="101"/>
      <c r="I845" s="101"/>
      <c r="J845" s="101"/>
      <c r="K845" s="101"/>
      <c r="L845" s="101"/>
      <c r="M845" s="101"/>
      <c r="N845" s="101"/>
      <c r="O845" s="101"/>
      <c r="P845" s="101"/>
      <c r="Q845" s="101"/>
      <c r="R845" s="101"/>
      <c r="S845" s="101"/>
      <c r="T845" s="101"/>
      <c r="U845" s="101"/>
      <c r="V845" s="101"/>
      <c r="W845" s="101"/>
      <c r="X845" s="101"/>
      <c r="Y845" s="101"/>
      <c r="Z845" s="101"/>
      <c r="AA845" s="101"/>
      <c r="AB845" s="101"/>
      <c r="AC845" s="101"/>
      <c r="AD845" s="101"/>
      <c r="AE845" s="101"/>
      <c r="AF845" s="101"/>
      <c r="AG845" s="101"/>
      <c r="AH845" s="101"/>
      <c r="AI845" s="101"/>
      <c r="AJ845" s="101"/>
      <c r="AK845" s="101"/>
      <c r="AL845" s="101"/>
      <c r="AM845" s="101"/>
      <c r="AN845" s="101"/>
      <c r="AO845" s="101"/>
    </row>
    <row r="846" spans="1:41">
      <c r="A846" s="115"/>
      <c r="B846" s="116"/>
      <c r="C846" s="117"/>
      <c r="D846" s="116"/>
      <c r="E846" s="101"/>
      <c r="F846" s="101"/>
      <c r="G846" s="101"/>
      <c r="H846" s="101"/>
      <c r="I846" s="101"/>
      <c r="J846" s="101"/>
      <c r="K846" s="101"/>
      <c r="L846" s="101"/>
      <c r="M846" s="101"/>
      <c r="N846" s="101"/>
      <c r="O846" s="101"/>
      <c r="P846" s="101"/>
      <c r="Q846" s="101"/>
      <c r="R846" s="101"/>
      <c r="S846" s="101"/>
      <c r="T846" s="101"/>
      <c r="U846" s="101"/>
      <c r="V846" s="101"/>
      <c r="W846" s="101"/>
      <c r="X846" s="101"/>
      <c r="Y846" s="101"/>
      <c r="Z846" s="101"/>
      <c r="AA846" s="101"/>
      <c r="AB846" s="101"/>
      <c r="AC846" s="101"/>
      <c r="AD846" s="101"/>
      <c r="AE846" s="101"/>
      <c r="AF846" s="101"/>
      <c r="AG846" s="101"/>
      <c r="AH846" s="101"/>
      <c r="AI846" s="101"/>
      <c r="AJ846" s="101"/>
      <c r="AK846" s="101"/>
      <c r="AL846" s="101"/>
      <c r="AM846" s="101"/>
      <c r="AN846" s="101"/>
      <c r="AO846" s="101"/>
    </row>
    <row r="847" spans="1:41">
      <c r="A847" s="115"/>
      <c r="B847" s="116"/>
      <c r="C847" s="117"/>
      <c r="D847" s="116"/>
      <c r="E847" s="101"/>
      <c r="F847" s="101"/>
      <c r="G847" s="101"/>
      <c r="H847" s="101"/>
      <c r="I847" s="101"/>
      <c r="J847" s="101"/>
      <c r="K847" s="101"/>
      <c r="L847" s="101"/>
      <c r="M847" s="101"/>
      <c r="N847" s="101"/>
      <c r="O847" s="101"/>
      <c r="P847" s="101"/>
      <c r="Q847" s="101"/>
      <c r="R847" s="101"/>
      <c r="S847" s="101"/>
      <c r="T847" s="101"/>
      <c r="U847" s="101"/>
      <c r="V847" s="101"/>
      <c r="W847" s="101"/>
      <c r="X847" s="101"/>
      <c r="Y847" s="101"/>
      <c r="Z847" s="101"/>
      <c r="AA847" s="101"/>
      <c r="AB847" s="101"/>
      <c r="AC847" s="101"/>
      <c r="AD847" s="101"/>
      <c r="AE847" s="101"/>
      <c r="AF847" s="101"/>
      <c r="AG847" s="101"/>
      <c r="AH847" s="101"/>
      <c r="AI847" s="101"/>
      <c r="AJ847" s="101"/>
      <c r="AK847" s="101"/>
      <c r="AL847" s="101"/>
      <c r="AM847" s="101"/>
      <c r="AN847" s="101"/>
      <c r="AO847" s="101"/>
    </row>
    <row r="848" spans="1:41">
      <c r="A848" s="115"/>
      <c r="B848" s="116"/>
      <c r="C848" s="117"/>
      <c r="D848" s="116"/>
      <c r="E848" s="101"/>
      <c r="F848" s="101"/>
      <c r="G848" s="101"/>
      <c r="H848" s="101"/>
      <c r="I848" s="101"/>
      <c r="J848" s="101"/>
      <c r="K848" s="101"/>
      <c r="L848" s="101"/>
      <c r="M848" s="101"/>
      <c r="N848" s="101"/>
      <c r="O848" s="101"/>
      <c r="P848" s="101"/>
      <c r="Q848" s="101"/>
      <c r="R848" s="101"/>
      <c r="S848" s="101"/>
      <c r="T848" s="101"/>
      <c r="U848" s="101"/>
      <c r="V848" s="101"/>
      <c r="W848" s="101"/>
      <c r="X848" s="101"/>
      <c r="Y848" s="101"/>
      <c r="Z848" s="101"/>
      <c r="AA848" s="101"/>
      <c r="AB848" s="101"/>
      <c r="AC848" s="101"/>
      <c r="AD848" s="101"/>
      <c r="AE848" s="101"/>
      <c r="AF848" s="101"/>
      <c r="AG848" s="101"/>
      <c r="AH848" s="101"/>
      <c r="AI848" s="101"/>
      <c r="AJ848" s="101"/>
      <c r="AK848" s="101"/>
      <c r="AL848" s="101"/>
      <c r="AM848" s="101"/>
      <c r="AN848" s="101"/>
      <c r="AO848" s="101"/>
    </row>
    <row r="849" spans="1:41">
      <c r="A849" s="115"/>
      <c r="B849" s="116"/>
      <c r="C849" s="117"/>
      <c r="D849" s="116"/>
      <c r="E849" s="101"/>
      <c r="F849" s="101"/>
      <c r="G849" s="101"/>
      <c r="H849" s="101"/>
      <c r="I849" s="101"/>
      <c r="J849" s="101"/>
      <c r="K849" s="101"/>
      <c r="L849" s="101"/>
      <c r="M849" s="101"/>
      <c r="N849" s="101"/>
      <c r="O849" s="101"/>
      <c r="P849" s="101"/>
      <c r="Q849" s="101"/>
      <c r="R849" s="101"/>
      <c r="S849" s="101"/>
      <c r="T849" s="101"/>
      <c r="U849" s="101"/>
      <c r="V849" s="101"/>
      <c r="W849" s="101"/>
      <c r="X849" s="101"/>
      <c r="Y849" s="101"/>
      <c r="Z849" s="101"/>
      <c r="AA849" s="101"/>
      <c r="AB849" s="101"/>
      <c r="AC849" s="101"/>
      <c r="AD849" s="101"/>
      <c r="AE849" s="101"/>
      <c r="AF849" s="101"/>
      <c r="AG849" s="101"/>
      <c r="AH849" s="101"/>
      <c r="AI849" s="101"/>
      <c r="AJ849" s="101"/>
      <c r="AK849" s="101"/>
      <c r="AL849" s="101"/>
      <c r="AM849" s="101"/>
      <c r="AN849" s="101"/>
      <c r="AO849" s="101"/>
    </row>
    <row r="850" spans="1:41">
      <c r="A850" s="115"/>
      <c r="B850" s="116"/>
      <c r="C850" s="117"/>
      <c r="D850" s="116"/>
      <c r="E850" s="101"/>
      <c r="F850" s="101"/>
      <c r="G850" s="101"/>
      <c r="H850" s="101"/>
      <c r="I850" s="101"/>
      <c r="J850" s="101"/>
      <c r="K850" s="101"/>
      <c r="L850" s="101"/>
      <c r="M850" s="101"/>
      <c r="N850" s="101"/>
      <c r="O850" s="101"/>
      <c r="P850" s="101"/>
      <c r="Q850" s="101"/>
      <c r="R850" s="101"/>
      <c r="S850" s="101"/>
      <c r="T850" s="101"/>
      <c r="U850" s="101"/>
      <c r="V850" s="101"/>
      <c r="W850" s="101"/>
      <c r="X850" s="101"/>
      <c r="Y850" s="101"/>
      <c r="Z850" s="101"/>
      <c r="AA850" s="101"/>
      <c r="AB850" s="101"/>
      <c r="AC850" s="101"/>
      <c r="AD850" s="101"/>
      <c r="AE850" s="101"/>
      <c r="AF850" s="101"/>
      <c r="AG850" s="101"/>
      <c r="AH850" s="101"/>
      <c r="AI850" s="101"/>
      <c r="AJ850" s="101"/>
      <c r="AK850" s="101"/>
      <c r="AL850" s="101"/>
      <c r="AM850" s="101"/>
      <c r="AN850" s="101"/>
      <c r="AO850" s="101"/>
    </row>
    <row r="851" spans="1:41">
      <c r="A851" s="115"/>
      <c r="B851" s="116"/>
      <c r="C851" s="117"/>
      <c r="D851" s="116"/>
      <c r="E851" s="101"/>
      <c r="F851" s="101"/>
      <c r="G851" s="101"/>
      <c r="H851" s="101"/>
      <c r="I851" s="101"/>
      <c r="J851" s="101"/>
      <c r="K851" s="101"/>
      <c r="L851" s="101"/>
      <c r="M851" s="101"/>
      <c r="N851" s="101"/>
      <c r="O851" s="101"/>
      <c r="P851" s="101"/>
      <c r="Q851" s="101"/>
      <c r="R851" s="101"/>
      <c r="S851" s="101"/>
      <c r="T851" s="101"/>
      <c r="U851" s="101"/>
      <c r="V851" s="101"/>
      <c r="W851" s="101"/>
      <c r="X851" s="101"/>
      <c r="Y851" s="101"/>
      <c r="Z851" s="101"/>
      <c r="AA851" s="101"/>
      <c r="AB851" s="101"/>
      <c r="AC851" s="101"/>
      <c r="AD851" s="101"/>
      <c r="AE851" s="101"/>
      <c r="AF851" s="101"/>
      <c r="AG851" s="101"/>
      <c r="AH851" s="101"/>
      <c r="AI851" s="101"/>
      <c r="AJ851" s="101"/>
      <c r="AK851" s="101"/>
      <c r="AL851" s="101"/>
      <c r="AM851" s="101"/>
      <c r="AN851" s="101"/>
      <c r="AO851" s="101"/>
    </row>
    <row r="852" spans="1:41">
      <c r="A852" s="115"/>
      <c r="B852" s="116"/>
      <c r="C852" s="117"/>
      <c r="D852" s="116"/>
      <c r="E852" s="101"/>
      <c r="F852" s="101"/>
      <c r="G852" s="101"/>
      <c r="H852" s="101"/>
      <c r="I852" s="101"/>
      <c r="J852" s="101"/>
      <c r="K852" s="101"/>
      <c r="L852" s="101"/>
      <c r="M852" s="101"/>
      <c r="N852" s="101"/>
      <c r="O852" s="101"/>
      <c r="P852" s="101"/>
      <c r="Q852" s="101"/>
      <c r="R852" s="101"/>
      <c r="S852" s="101"/>
      <c r="T852" s="101"/>
      <c r="U852" s="101"/>
      <c r="V852" s="101"/>
      <c r="W852" s="101"/>
      <c r="X852" s="101"/>
      <c r="Y852" s="101"/>
      <c r="Z852" s="101"/>
      <c r="AA852" s="101"/>
      <c r="AB852" s="101"/>
      <c r="AC852" s="101"/>
      <c r="AD852" s="101"/>
      <c r="AE852" s="101"/>
      <c r="AF852" s="101"/>
      <c r="AG852" s="101"/>
      <c r="AH852" s="101"/>
      <c r="AI852" s="101"/>
      <c r="AJ852" s="101"/>
      <c r="AK852" s="101"/>
      <c r="AL852" s="101"/>
      <c r="AM852" s="101"/>
      <c r="AN852" s="101"/>
      <c r="AO852" s="101"/>
    </row>
    <row r="853" spans="1:41">
      <c r="A853" s="115"/>
      <c r="B853" s="116"/>
      <c r="C853" s="117"/>
      <c r="D853" s="116"/>
      <c r="E853" s="101"/>
      <c r="F853" s="101"/>
      <c r="G853" s="101"/>
      <c r="H853" s="101"/>
      <c r="I853" s="101"/>
      <c r="J853" s="101"/>
      <c r="K853" s="101"/>
      <c r="L853" s="101"/>
      <c r="M853" s="101"/>
      <c r="N853" s="101"/>
      <c r="O853" s="101"/>
      <c r="P853" s="101"/>
      <c r="Q853" s="101"/>
      <c r="R853" s="101"/>
      <c r="S853" s="101"/>
      <c r="T853" s="101"/>
      <c r="U853" s="101"/>
      <c r="V853" s="101"/>
      <c r="W853" s="101"/>
      <c r="X853" s="101"/>
      <c r="Y853" s="101"/>
      <c r="Z853" s="101"/>
      <c r="AA853" s="101"/>
      <c r="AB853" s="101"/>
      <c r="AC853" s="101"/>
      <c r="AD853" s="101"/>
      <c r="AE853" s="101"/>
      <c r="AF853" s="101"/>
      <c r="AG853" s="101"/>
      <c r="AH853" s="101"/>
      <c r="AI853" s="101"/>
      <c r="AJ853" s="101"/>
      <c r="AK853" s="101"/>
      <c r="AL853" s="101"/>
      <c r="AM853" s="101"/>
      <c r="AN853" s="101"/>
      <c r="AO853" s="101"/>
    </row>
    <row r="854" spans="1:41">
      <c r="A854" s="115"/>
      <c r="B854" s="116"/>
      <c r="C854" s="117"/>
      <c r="D854" s="116"/>
      <c r="E854" s="101"/>
      <c r="F854" s="101"/>
      <c r="G854" s="101"/>
      <c r="H854" s="101"/>
      <c r="I854" s="101"/>
      <c r="J854" s="101"/>
      <c r="K854" s="101"/>
      <c r="L854" s="101"/>
      <c r="M854" s="101"/>
      <c r="N854" s="101"/>
      <c r="O854" s="101"/>
      <c r="P854" s="101"/>
      <c r="Q854" s="101"/>
      <c r="R854" s="101"/>
      <c r="S854" s="101"/>
      <c r="T854" s="101"/>
      <c r="U854" s="101"/>
      <c r="V854" s="101"/>
      <c r="W854" s="101"/>
      <c r="X854" s="101"/>
      <c r="Y854" s="101"/>
      <c r="Z854" s="101"/>
      <c r="AA854" s="101"/>
      <c r="AB854" s="101"/>
      <c r="AC854" s="101"/>
      <c r="AD854" s="101"/>
      <c r="AE854" s="101"/>
      <c r="AF854" s="101"/>
      <c r="AG854" s="101"/>
      <c r="AH854" s="101"/>
      <c r="AI854" s="101"/>
      <c r="AJ854" s="101"/>
      <c r="AK854" s="101"/>
      <c r="AL854" s="101"/>
      <c r="AM854" s="101"/>
      <c r="AN854" s="101"/>
      <c r="AO854" s="101"/>
    </row>
    <row r="855" spans="1:41">
      <c r="A855" s="115"/>
      <c r="B855" s="116"/>
      <c r="C855" s="117"/>
      <c r="D855" s="116"/>
      <c r="E855" s="101"/>
      <c r="F855" s="101"/>
      <c r="G855" s="101"/>
      <c r="H855" s="101"/>
      <c r="I855" s="101"/>
      <c r="J855" s="101"/>
      <c r="K855" s="101"/>
      <c r="L855" s="101"/>
      <c r="M855" s="101"/>
      <c r="N855" s="101"/>
      <c r="O855" s="101"/>
      <c r="P855" s="101"/>
      <c r="Q855" s="101"/>
      <c r="R855" s="101"/>
      <c r="S855" s="101"/>
      <c r="T855" s="101"/>
      <c r="U855" s="101"/>
      <c r="V855" s="101"/>
      <c r="W855" s="101"/>
      <c r="X855" s="101"/>
      <c r="Y855" s="101"/>
      <c r="Z855" s="101"/>
      <c r="AA855" s="101"/>
      <c r="AB855" s="101"/>
      <c r="AC855" s="101"/>
      <c r="AD855" s="101"/>
      <c r="AE855" s="101"/>
      <c r="AF855" s="101"/>
      <c r="AG855" s="101"/>
      <c r="AH855" s="101"/>
      <c r="AI855" s="101"/>
      <c r="AJ855" s="101"/>
      <c r="AK855" s="101"/>
      <c r="AL855" s="101"/>
      <c r="AM855" s="101"/>
      <c r="AN855" s="101"/>
      <c r="AO855" s="101"/>
    </row>
    <row r="856" spans="1:41">
      <c r="A856" s="115"/>
      <c r="B856" s="116"/>
      <c r="C856" s="117"/>
      <c r="D856" s="116"/>
      <c r="E856" s="101"/>
      <c r="F856" s="101"/>
      <c r="G856" s="101"/>
      <c r="H856" s="101"/>
      <c r="I856" s="101"/>
      <c r="J856" s="101"/>
      <c r="K856" s="101"/>
      <c r="L856" s="101"/>
      <c r="M856" s="101"/>
      <c r="N856" s="101"/>
      <c r="O856" s="101"/>
      <c r="P856" s="101"/>
      <c r="Q856" s="101"/>
      <c r="R856" s="101"/>
      <c r="S856" s="101"/>
      <c r="T856" s="101"/>
      <c r="U856" s="101"/>
      <c r="V856" s="101"/>
      <c r="W856" s="101"/>
      <c r="X856" s="101"/>
      <c r="Y856" s="101"/>
      <c r="Z856" s="101"/>
      <c r="AA856" s="101"/>
      <c r="AB856" s="101"/>
      <c r="AC856" s="101"/>
      <c r="AD856" s="101"/>
      <c r="AE856" s="101"/>
      <c r="AF856" s="101"/>
      <c r="AG856" s="101"/>
      <c r="AH856" s="101"/>
      <c r="AI856" s="101"/>
      <c r="AJ856" s="101"/>
      <c r="AK856" s="101"/>
      <c r="AL856" s="101"/>
      <c r="AM856" s="101"/>
      <c r="AN856" s="101"/>
      <c r="AO856" s="101"/>
    </row>
    <row r="857" spans="1:41">
      <c r="A857" s="115"/>
      <c r="B857" s="116"/>
      <c r="C857" s="117"/>
      <c r="D857" s="116"/>
      <c r="E857" s="101"/>
      <c r="F857" s="101"/>
      <c r="G857" s="101"/>
      <c r="H857" s="101"/>
      <c r="I857" s="101"/>
      <c r="J857" s="101"/>
      <c r="K857" s="101"/>
      <c r="L857" s="101"/>
      <c r="M857" s="101"/>
      <c r="N857" s="101"/>
      <c r="O857" s="101"/>
      <c r="P857" s="101"/>
      <c r="Q857" s="101"/>
      <c r="R857" s="101"/>
      <c r="S857" s="101"/>
      <c r="T857" s="101"/>
      <c r="U857" s="101"/>
      <c r="V857" s="101"/>
      <c r="W857" s="101"/>
      <c r="X857" s="101"/>
      <c r="Y857" s="101"/>
      <c r="Z857" s="101"/>
      <c r="AA857" s="101"/>
      <c r="AB857" s="101"/>
      <c r="AC857" s="101"/>
      <c r="AD857" s="101"/>
      <c r="AE857" s="101"/>
      <c r="AF857" s="101"/>
      <c r="AG857" s="101"/>
      <c r="AH857" s="101"/>
      <c r="AI857" s="101"/>
      <c r="AJ857" s="101"/>
      <c r="AK857" s="101"/>
      <c r="AL857" s="101"/>
      <c r="AM857" s="101"/>
      <c r="AN857" s="101"/>
      <c r="AO857" s="101"/>
    </row>
    <row r="858" spans="1:41">
      <c r="A858" s="115"/>
      <c r="B858" s="116"/>
      <c r="C858" s="117"/>
      <c r="D858" s="116"/>
      <c r="E858" s="101"/>
      <c r="F858" s="101"/>
      <c r="G858" s="101"/>
      <c r="H858" s="101"/>
      <c r="I858" s="101"/>
      <c r="J858" s="101"/>
      <c r="K858" s="101"/>
      <c r="L858" s="101"/>
      <c r="M858" s="101"/>
      <c r="N858" s="101"/>
      <c r="O858" s="101"/>
      <c r="P858" s="101"/>
      <c r="Q858" s="101"/>
      <c r="R858" s="101"/>
      <c r="S858" s="101"/>
      <c r="T858" s="101"/>
      <c r="U858" s="101"/>
      <c r="V858" s="101"/>
      <c r="W858" s="101"/>
      <c r="X858" s="101"/>
      <c r="Y858" s="101"/>
      <c r="Z858" s="101"/>
      <c r="AA858" s="101"/>
      <c r="AB858" s="101"/>
      <c r="AC858" s="101"/>
      <c r="AD858" s="101"/>
      <c r="AE858" s="101"/>
      <c r="AF858" s="101"/>
      <c r="AG858" s="101"/>
      <c r="AH858" s="101"/>
      <c r="AI858" s="101"/>
      <c r="AJ858" s="101"/>
      <c r="AK858" s="101"/>
      <c r="AL858" s="101"/>
      <c r="AM858" s="101"/>
      <c r="AN858" s="101"/>
      <c r="AO858" s="101"/>
    </row>
    <row r="859" spans="1:41">
      <c r="A859" s="115"/>
      <c r="B859" s="116"/>
      <c r="C859" s="117"/>
      <c r="D859" s="116"/>
      <c r="E859" s="101"/>
      <c r="F859" s="101"/>
      <c r="G859" s="101"/>
      <c r="H859" s="101"/>
      <c r="I859" s="101"/>
      <c r="J859" s="101"/>
      <c r="K859" s="101"/>
      <c r="L859" s="101"/>
      <c r="M859" s="101"/>
      <c r="N859" s="101"/>
      <c r="O859" s="101"/>
      <c r="P859" s="101"/>
      <c r="Q859" s="101"/>
      <c r="R859" s="101"/>
      <c r="S859" s="101"/>
      <c r="T859" s="101"/>
      <c r="U859" s="101"/>
      <c r="V859" s="101"/>
      <c r="W859" s="101"/>
      <c r="X859" s="101"/>
      <c r="Y859" s="101"/>
      <c r="Z859" s="101"/>
      <c r="AA859" s="101"/>
      <c r="AB859" s="101"/>
      <c r="AC859" s="101"/>
      <c r="AD859" s="101"/>
      <c r="AE859" s="101"/>
      <c r="AF859" s="101"/>
      <c r="AG859" s="101"/>
      <c r="AH859" s="101"/>
      <c r="AI859" s="101"/>
      <c r="AJ859" s="101"/>
      <c r="AK859" s="101"/>
      <c r="AL859" s="101"/>
      <c r="AM859" s="101"/>
      <c r="AN859" s="101"/>
      <c r="AO859" s="101"/>
    </row>
    <row r="860" spans="1:41">
      <c r="A860" s="115"/>
      <c r="B860" s="116"/>
      <c r="C860" s="117"/>
      <c r="D860" s="116"/>
      <c r="E860" s="101"/>
      <c r="F860" s="101"/>
      <c r="G860" s="101"/>
      <c r="H860" s="101"/>
      <c r="I860" s="101"/>
      <c r="J860" s="101"/>
      <c r="K860" s="101"/>
      <c r="L860" s="101"/>
      <c r="M860" s="101"/>
      <c r="N860" s="101"/>
      <c r="O860" s="101"/>
      <c r="P860" s="101"/>
      <c r="Q860" s="101"/>
      <c r="R860" s="101"/>
      <c r="S860" s="101"/>
      <c r="T860" s="101"/>
      <c r="U860" s="101"/>
      <c r="V860" s="101"/>
      <c r="W860" s="101"/>
      <c r="X860" s="101"/>
      <c r="Y860" s="101"/>
      <c r="Z860" s="101"/>
      <c r="AA860" s="101"/>
      <c r="AB860" s="101"/>
      <c r="AC860" s="101"/>
      <c r="AD860" s="101"/>
      <c r="AE860" s="101"/>
      <c r="AF860" s="101"/>
      <c r="AG860" s="101"/>
      <c r="AH860" s="101"/>
      <c r="AI860" s="101"/>
      <c r="AJ860" s="101"/>
      <c r="AK860" s="101"/>
      <c r="AL860" s="101"/>
      <c r="AM860" s="101"/>
      <c r="AN860" s="101"/>
      <c r="AO860" s="101"/>
    </row>
    <row r="861" spans="1:41">
      <c r="A861" s="115"/>
      <c r="B861" s="116"/>
      <c r="C861" s="117"/>
      <c r="D861" s="116"/>
      <c r="E861" s="101"/>
      <c r="F861" s="101"/>
      <c r="G861" s="101"/>
      <c r="H861" s="101"/>
      <c r="I861" s="101"/>
      <c r="J861" s="101"/>
      <c r="K861" s="101"/>
      <c r="L861" s="101"/>
      <c r="M861" s="101"/>
      <c r="N861" s="101"/>
      <c r="O861" s="101"/>
      <c r="P861" s="101"/>
      <c r="Q861" s="101"/>
      <c r="R861" s="101"/>
      <c r="S861" s="101"/>
      <c r="T861" s="101"/>
      <c r="U861" s="101"/>
      <c r="V861" s="101"/>
      <c r="W861" s="101"/>
      <c r="X861" s="101"/>
      <c r="Y861" s="101"/>
      <c r="Z861" s="101"/>
      <c r="AA861" s="101"/>
      <c r="AB861" s="101"/>
      <c r="AC861" s="101"/>
      <c r="AD861" s="101"/>
      <c r="AE861" s="101"/>
      <c r="AF861" s="101"/>
      <c r="AG861" s="101"/>
      <c r="AH861" s="101"/>
      <c r="AI861" s="101"/>
      <c r="AJ861" s="101"/>
      <c r="AK861" s="101"/>
      <c r="AL861" s="101"/>
      <c r="AM861" s="101"/>
      <c r="AN861" s="101"/>
      <c r="AO861" s="101"/>
    </row>
    <row r="862" spans="1:41">
      <c r="A862" s="115"/>
      <c r="B862" s="116"/>
      <c r="C862" s="117"/>
      <c r="D862" s="116"/>
      <c r="E862" s="101"/>
      <c r="F862" s="101"/>
      <c r="G862" s="101"/>
      <c r="H862" s="101"/>
      <c r="I862" s="101"/>
      <c r="J862" s="101"/>
      <c r="K862" s="101"/>
      <c r="L862" s="101"/>
      <c r="M862" s="101"/>
      <c r="N862" s="101"/>
      <c r="O862" s="101"/>
      <c r="P862" s="101"/>
      <c r="Q862" s="101"/>
      <c r="R862" s="101"/>
      <c r="S862" s="101"/>
      <c r="T862" s="101"/>
      <c r="U862" s="101"/>
      <c r="V862" s="101"/>
      <c r="W862" s="101"/>
      <c r="X862" s="101"/>
      <c r="Y862" s="101"/>
      <c r="Z862" s="101"/>
      <c r="AA862" s="101"/>
      <c r="AB862" s="101"/>
      <c r="AC862" s="101"/>
      <c r="AD862" s="101"/>
      <c r="AE862" s="101"/>
      <c r="AF862" s="101"/>
      <c r="AG862" s="101"/>
      <c r="AH862" s="101"/>
      <c r="AI862" s="101"/>
      <c r="AJ862" s="101"/>
      <c r="AK862" s="101"/>
      <c r="AL862" s="101"/>
      <c r="AM862" s="101"/>
      <c r="AN862" s="101"/>
      <c r="AO862" s="101"/>
    </row>
    <row r="863" spans="1:41">
      <c r="A863" s="115"/>
      <c r="B863" s="116"/>
      <c r="C863" s="117"/>
      <c r="D863" s="116"/>
      <c r="E863" s="101"/>
      <c r="F863" s="101"/>
      <c r="G863" s="101"/>
      <c r="H863" s="101"/>
      <c r="I863" s="101"/>
      <c r="J863" s="101"/>
      <c r="K863" s="101"/>
      <c r="L863" s="101"/>
      <c r="M863" s="101"/>
      <c r="N863" s="101"/>
      <c r="O863" s="101"/>
      <c r="P863" s="101"/>
      <c r="Q863" s="101"/>
      <c r="R863" s="101"/>
      <c r="S863" s="101"/>
      <c r="T863" s="101"/>
      <c r="U863" s="101"/>
      <c r="V863" s="101"/>
      <c r="W863" s="101"/>
      <c r="X863" s="101"/>
      <c r="Y863" s="101"/>
      <c r="Z863" s="101"/>
      <c r="AA863" s="101"/>
      <c r="AB863" s="101"/>
      <c r="AC863" s="101"/>
      <c r="AD863" s="101"/>
      <c r="AE863" s="101"/>
      <c r="AF863" s="101"/>
      <c r="AG863" s="101"/>
      <c r="AH863" s="101"/>
      <c r="AI863" s="101"/>
      <c r="AJ863" s="101"/>
      <c r="AK863" s="101"/>
      <c r="AL863" s="101"/>
      <c r="AM863" s="101"/>
      <c r="AN863" s="101"/>
      <c r="AO863" s="101"/>
    </row>
    <row r="864" spans="1:41">
      <c r="A864" s="115"/>
      <c r="B864" s="116"/>
      <c r="C864" s="117"/>
      <c r="D864" s="116"/>
      <c r="E864" s="101"/>
      <c r="F864" s="101"/>
      <c r="G864" s="101"/>
      <c r="H864" s="101"/>
      <c r="I864" s="101"/>
      <c r="J864" s="101"/>
      <c r="K864" s="101"/>
      <c r="L864" s="101"/>
      <c r="M864" s="101"/>
      <c r="N864" s="101"/>
      <c r="O864" s="101"/>
      <c r="P864" s="101"/>
      <c r="Q864" s="101"/>
      <c r="R864" s="101"/>
      <c r="S864" s="101"/>
      <c r="T864" s="101"/>
      <c r="U864" s="101"/>
      <c r="V864" s="101"/>
      <c r="W864" s="101"/>
      <c r="X864" s="101"/>
      <c r="Y864" s="101"/>
      <c r="Z864" s="101"/>
      <c r="AA864" s="101"/>
      <c r="AB864" s="101"/>
      <c r="AC864" s="101"/>
      <c r="AD864" s="101"/>
      <c r="AE864" s="101"/>
      <c r="AF864" s="101"/>
      <c r="AG864" s="101"/>
      <c r="AH864" s="101"/>
      <c r="AI864" s="101"/>
      <c r="AJ864" s="101"/>
      <c r="AK864" s="101"/>
      <c r="AL864" s="101"/>
      <c r="AM864" s="101"/>
      <c r="AN864" s="101"/>
      <c r="AO864" s="101"/>
    </row>
    <row r="865" spans="1:41">
      <c r="A865" s="115"/>
      <c r="B865" s="116"/>
      <c r="C865" s="117"/>
      <c r="D865" s="116"/>
      <c r="E865" s="101"/>
      <c r="F865" s="101"/>
      <c r="G865" s="101"/>
      <c r="H865" s="101"/>
      <c r="I865" s="101"/>
      <c r="J865" s="101"/>
      <c r="K865" s="101"/>
      <c r="L865" s="101"/>
      <c r="M865" s="101"/>
      <c r="N865" s="101"/>
      <c r="O865" s="101"/>
      <c r="P865" s="101"/>
      <c r="Q865" s="101"/>
      <c r="R865" s="101"/>
      <c r="S865" s="101"/>
      <c r="T865" s="101"/>
      <c r="U865" s="101"/>
      <c r="V865" s="101"/>
      <c r="W865" s="101"/>
      <c r="X865" s="101"/>
      <c r="Y865" s="101"/>
      <c r="Z865" s="101"/>
      <c r="AA865" s="101"/>
      <c r="AB865" s="101"/>
      <c r="AC865" s="101"/>
      <c r="AD865" s="101"/>
      <c r="AE865" s="101"/>
      <c r="AF865" s="101"/>
      <c r="AG865" s="101"/>
      <c r="AH865" s="101"/>
      <c r="AI865" s="101"/>
      <c r="AJ865" s="101"/>
      <c r="AK865" s="101"/>
      <c r="AL865" s="101"/>
      <c r="AM865" s="101"/>
      <c r="AN865" s="101"/>
      <c r="AO865" s="101"/>
    </row>
    <row r="866" spans="1:41">
      <c r="A866" s="115"/>
      <c r="B866" s="116"/>
      <c r="C866" s="117"/>
      <c r="D866" s="116"/>
      <c r="E866" s="101"/>
      <c r="F866" s="101"/>
      <c r="G866" s="101"/>
      <c r="H866" s="101"/>
      <c r="I866" s="101"/>
      <c r="J866" s="101"/>
      <c r="K866" s="101"/>
      <c r="L866" s="101"/>
      <c r="M866" s="101"/>
      <c r="N866" s="101"/>
      <c r="O866" s="101"/>
      <c r="P866" s="101"/>
      <c r="Q866" s="101"/>
      <c r="R866" s="101"/>
      <c r="S866" s="101"/>
      <c r="T866" s="101"/>
      <c r="U866" s="101"/>
      <c r="V866" s="101"/>
      <c r="W866" s="101"/>
      <c r="X866" s="101"/>
      <c r="Y866" s="101"/>
      <c r="Z866" s="101"/>
      <c r="AA866" s="101"/>
      <c r="AB866" s="101"/>
      <c r="AC866" s="101"/>
      <c r="AD866" s="101"/>
      <c r="AE866" s="101"/>
      <c r="AF866" s="101"/>
      <c r="AG866" s="101"/>
      <c r="AH866" s="101"/>
      <c r="AI866" s="101"/>
      <c r="AJ866" s="101"/>
      <c r="AK866" s="101"/>
      <c r="AL866" s="101"/>
      <c r="AM866" s="101"/>
      <c r="AN866" s="101"/>
      <c r="AO866" s="101"/>
    </row>
    <row r="867" spans="1:41">
      <c r="A867" s="115"/>
      <c r="B867" s="116"/>
      <c r="C867" s="117"/>
      <c r="D867" s="116"/>
      <c r="E867" s="101"/>
      <c r="F867" s="101"/>
      <c r="G867" s="101"/>
      <c r="H867" s="101"/>
      <c r="I867" s="101"/>
      <c r="J867" s="101"/>
      <c r="K867" s="101"/>
      <c r="L867" s="101"/>
      <c r="M867" s="101"/>
      <c r="N867" s="101"/>
      <c r="O867" s="101"/>
      <c r="P867" s="101"/>
      <c r="Q867" s="101"/>
      <c r="R867" s="101"/>
      <c r="S867" s="101"/>
      <c r="T867" s="101"/>
      <c r="U867" s="101"/>
      <c r="V867" s="101"/>
      <c r="W867" s="101"/>
      <c r="X867" s="101"/>
      <c r="Y867" s="101"/>
      <c r="Z867" s="101"/>
      <c r="AA867" s="101"/>
      <c r="AB867" s="101"/>
      <c r="AC867" s="101"/>
      <c r="AD867" s="101"/>
      <c r="AE867" s="101"/>
      <c r="AF867" s="101"/>
      <c r="AG867" s="101"/>
      <c r="AH867" s="101"/>
      <c r="AI867" s="101"/>
      <c r="AJ867" s="101"/>
      <c r="AK867" s="101"/>
      <c r="AL867" s="101"/>
      <c r="AM867" s="101"/>
      <c r="AN867" s="101"/>
      <c r="AO867" s="101"/>
    </row>
    <row r="868" spans="1:41">
      <c r="A868" s="115"/>
      <c r="B868" s="116"/>
      <c r="C868" s="117"/>
      <c r="D868" s="116"/>
      <c r="E868" s="101"/>
      <c r="F868" s="101"/>
      <c r="G868" s="101"/>
      <c r="H868" s="101"/>
      <c r="I868" s="101"/>
      <c r="J868" s="101"/>
      <c r="K868" s="101"/>
      <c r="L868" s="101"/>
      <c r="M868" s="101"/>
      <c r="N868" s="101"/>
      <c r="O868" s="101"/>
      <c r="P868" s="101"/>
      <c r="Q868" s="101"/>
      <c r="R868" s="101"/>
      <c r="S868" s="101"/>
      <c r="T868" s="101"/>
      <c r="U868" s="101"/>
      <c r="V868" s="101"/>
      <c r="W868" s="101"/>
      <c r="X868" s="101"/>
      <c r="Y868" s="101"/>
      <c r="Z868" s="101"/>
      <c r="AA868" s="101"/>
      <c r="AB868" s="101"/>
      <c r="AC868" s="101"/>
      <c r="AD868" s="101"/>
      <c r="AE868" s="101"/>
      <c r="AF868" s="101"/>
      <c r="AG868" s="101"/>
      <c r="AH868" s="101"/>
      <c r="AI868" s="101"/>
      <c r="AJ868" s="101"/>
      <c r="AK868" s="101"/>
      <c r="AL868" s="101"/>
      <c r="AM868" s="101"/>
      <c r="AN868" s="101"/>
      <c r="AO868" s="101"/>
    </row>
    <row r="869" spans="1:41">
      <c r="A869" s="115"/>
      <c r="B869" s="116"/>
      <c r="C869" s="117"/>
      <c r="D869" s="116"/>
      <c r="E869" s="101"/>
      <c r="F869" s="101"/>
      <c r="G869" s="101"/>
      <c r="H869" s="101"/>
      <c r="I869" s="101"/>
      <c r="J869" s="101"/>
      <c r="K869" s="101"/>
      <c r="L869" s="101"/>
      <c r="M869" s="101"/>
      <c r="N869" s="101"/>
      <c r="O869" s="101"/>
      <c r="P869" s="101"/>
      <c r="Q869" s="101"/>
      <c r="R869" s="101"/>
      <c r="S869" s="101"/>
      <c r="T869" s="101"/>
      <c r="U869" s="101"/>
      <c r="V869" s="101"/>
      <c r="W869" s="101"/>
      <c r="X869" s="101"/>
      <c r="Y869" s="101"/>
      <c r="Z869" s="101"/>
      <c r="AA869" s="101"/>
      <c r="AB869" s="101"/>
      <c r="AC869" s="101"/>
      <c r="AD869" s="101"/>
      <c r="AE869" s="101"/>
      <c r="AF869" s="101"/>
      <c r="AG869" s="101"/>
      <c r="AH869" s="101"/>
      <c r="AI869" s="101"/>
      <c r="AJ869" s="101"/>
      <c r="AK869" s="101"/>
      <c r="AL869" s="101"/>
      <c r="AM869" s="101"/>
      <c r="AN869" s="101"/>
      <c r="AO869" s="101"/>
    </row>
    <row r="870" spans="1:41">
      <c r="A870" s="115"/>
      <c r="B870" s="116"/>
      <c r="C870" s="117"/>
      <c r="D870" s="116"/>
      <c r="E870" s="101"/>
      <c r="F870" s="101"/>
      <c r="G870" s="101"/>
      <c r="H870" s="101"/>
      <c r="I870" s="101"/>
      <c r="J870" s="101"/>
      <c r="K870" s="101"/>
      <c r="L870" s="101"/>
      <c r="M870" s="101"/>
      <c r="N870" s="101"/>
      <c r="O870" s="101"/>
      <c r="P870" s="101"/>
      <c r="Q870" s="101"/>
      <c r="R870" s="101"/>
      <c r="S870" s="101"/>
      <c r="T870" s="101"/>
      <c r="U870" s="101"/>
      <c r="V870" s="101"/>
      <c r="W870" s="101"/>
      <c r="X870" s="101"/>
      <c r="Y870" s="101"/>
      <c r="Z870" s="101"/>
      <c r="AA870" s="101"/>
      <c r="AB870" s="101"/>
      <c r="AC870" s="101"/>
      <c r="AD870" s="101"/>
      <c r="AE870" s="101"/>
      <c r="AF870" s="101"/>
      <c r="AG870" s="101"/>
      <c r="AH870" s="101"/>
      <c r="AI870" s="101"/>
      <c r="AJ870" s="101"/>
      <c r="AK870" s="101"/>
      <c r="AL870" s="101"/>
      <c r="AM870" s="101"/>
      <c r="AN870" s="101"/>
      <c r="AO870" s="101"/>
    </row>
    <row r="871" spans="1:41">
      <c r="A871" s="115"/>
      <c r="B871" s="116"/>
      <c r="C871" s="117"/>
      <c r="D871" s="116"/>
      <c r="E871" s="101"/>
      <c r="F871" s="101"/>
      <c r="G871" s="101"/>
      <c r="H871" s="101"/>
      <c r="I871" s="101"/>
      <c r="J871" s="101"/>
      <c r="K871" s="101"/>
      <c r="L871" s="101"/>
      <c r="M871" s="101"/>
      <c r="N871" s="101"/>
      <c r="O871" s="101"/>
      <c r="P871" s="101"/>
      <c r="Q871" s="101"/>
      <c r="R871" s="101"/>
      <c r="S871" s="101"/>
      <c r="T871" s="101"/>
      <c r="U871" s="101"/>
      <c r="V871" s="101"/>
      <c r="W871" s="101"/>
      <c r="X871" s="101"/>
      <c r="Y871" s="101"/>
      <c r="Z871" s="101"/>
      <c r="AA871" s="101"/>
      <c r="AB871" s="101"/>
      <c r="AC871" s="101"/>
      <c r="AD871" s="101"/>
      <c r="AE871" s="101"/>
      <c r="AF871" s="101"/>
      <c r="AG871" s="101"/>
      <c r="AH871" s="101"/>
      <c r="AI871" s="101"/>
      <c r="AJ871" s="101"/>
      <c r="AK871" s="101"/>
      <c r="AL871" s="101"/>
      <c r="AM871" s="101"/>
      <c r="AN871" s="101"/>
      <c r="AO871" s="101"/>
    </row>
    <row r="872" spans="1:41">
      <c r="A872" s="115"/>
      <c r="B872" s="116"/>
      <c r="C872" s="117"/>
      <c r="D872" s="116"/>
      <c r="E872" s="101"/>
      <c r="F872" s="101"/>
      <c r="G872" s="101"/>
      <c r="H872" s="101"/>
      <c r="I872" s="101"/>
      <c r="J872" s="101"/>
      <c r="K872" s="101"/>
      <c r="L872" s="101"/>
      <c r="M872" s="101"/>
      <c r="N872" s="101"/>
      <c r="O872" s="101"/>
      <c r="P872" s="101"/>
      <c r="Q872" s="101"/>
      <c r="R872" s="101"/>
      <c r="S872" s="101"/>
      <c r="T872" s="101"/>
      <c r="U872" s="101"/>
      <c r="V872" s="101"/>
      <c r="W872" s="101"/>
      <c r="X872" s="101"/>
      <c r="Y872" s="101"/>
      <c r="Z872" s="101"/>
      <c r="AA872" s="101"/>
      <c r="AB872" s="101"/>
      <c r="AC872" s="101"/>
      <c r="AD872" s="101"/>
      <c r="AE872" s="101"/>
      <c r="AF872" s="101"/>
      <c r="AG872" s="101"/>
      <c r="AH872" s="101"/>
      <c r="AI872" s="101"/>
      <c r="AJ872" s="101"/>
      <c r="AK872" s="101"/>
      <c r="AL872" s="101"/>
      <c r="AM872" s="101"/>
      <c r="AN872" s="101"/>
      <c r="AO872" s="101"/>
    </row>
    <row r="873" spans="1:41">
      <c r="A873" s="115"/>
      <c r="B873" s="116"/>
      <c r="C873" s="117"/>
      <c r="D873" s="116"/>
      <c r="E873" s="101"/>
      <c r="F873" s="101"/>
      <c r="G873" s="101"/>
      <c r="H873" s="101"/>
      <c r="I873" s="101"/>
      <c r="J873" s="101"/>
      <c r="K873" s="101"/>
      <c r="L873" s="101"/>
      <c r="M873" s="101"/>
      <c r="N873" s="101"/>
      <c r="O873" s="101"/>
      <c r="P873" s="101"/>
      <c r="Q873" s="101"/>
      <c r="R873" s="101"/>
      <c r="S873" s="101"/>
      <c r="T873" s="101"/>
      <c r="U873" s="101"/>
      <c r="V873" s="101"/>
      <c r="W873" s="101"/>
      <c r="X873" s="101"/>
      <c r="Y873" s="101"/>
      <c r="Z873" s="101"/>
      <c r="AA873" s="101"/>
      <c r="AB873" s="101"/>
      <c r="AC873" s="101"/>
      <c r="AD873" s="101"/>
      <c r="AE873" s="101"/>
      <c r="AF873" s="101"/>
      <c r="AG873" s="101"/>
      <c r="AH873" s="101"/>
      <c r="AI873" s="101"/>
      <c r="AJ873" s="101"/>
      <c r="AK873" s="101"/>
      <c r="AL873" s="101"/>
      <c r="AM873" s="101"/>
      <c r="AN873" s="101"/>
      <c r="AO873" s="101"/>
    </row>
    <row r="874" spans="1:41">
      <c r="A874" s="115"/>
      <c r="B874" s="116"/>
      <c r="C874" s="117"/>
      <c r="D874" s="116"/>
      <c r="E874" s="101"/>
      <c r="F874" s="101"/>
      <c r="G874" s="101"/>
      <c r="H874" s="101"/>
      <c r="I874" s="101"/>
      <c r="J874" s="101"/>
      <c r="K874" s="101"/>
      <c r="L874" s="101"/>
      <c r="M874" s="101"/>
      <c r="N874" s="101"/>
      <c r="O874" s="101"/>
      <c r="P874" s="101"/>
      <c r="Q874" s="101"/>
      <c r="R874" s="101"/>
      <c r="S874" s="101"/>
      <c r="T874" s="101"/>
      <c r="U874" s="101"/>
      <c r="V874" s="101"/>
      <c r="W874" s="101"/>
      <c r="X874" s="101"/>
      <c r="Y874" s="101"/>
      <c r="Z874" s="101"/>
      <c r="AA874" s="101"/>
      <c r="AB874" s="101"/>
      <c r="AC874" s="101"/>
      <c r="AD874" s="101"/>
      <c r="AE874" s="101"/>
      <c r="AF874" s="101"/>
      <c r="AG874" s="101"/>
      <c r="AH874" s="101"/>
      <c r="AI874" s="101"/>
      <c r="AJ874" s="101"/>
      <c r="AK874" s="101"/>
      <c r="AL874" s="101"/>
      <c r="AM874" s="101"/>
      <c r="AN874" s="101"/>
      <c r="AO874" s="101"/>
    </row>
    <row r="875" spans="1:41">
      <c r="A875" s="115"/>
      <c r="B875" s="116"/>
      <c r="C875" s="117"/>
      <c r="D875" s="116"/>
      <c r="E875" s="101"/>
      <c r="F875" s="101"/>
      <c r="G875" s="101"/>
      <c r="H875" s="101"/>
      <c r="I875" s="101"/>
      <c r="J875" s="101"/>
      <c r="K875" s="101"/>
      <c r="L875" s="101"/>
      <c r="M875" s="101"/>
      <c r="N875" s="101"/>
      <c r="O875" s="101"/>
      <c r="P875" s="101"/>
      <c r="Q875" s="101"/>
      <c r="R875" s="101"/>
      <c r="S875" s="101"/>
      <c r="T875" s="101"/>
      <c r="U875" s="101"/>
      <c r="V875" s="101"/>
      <c r="W875" s="101"/>
      <c r="X875" s="101"/>
      <c r="Y875" s="101"/>
      <c r="Z875" s="101"/>
      <c r="AA875" s="101"/>
      <c r="AB875" s="101"/>
      <c r="AC875" s="101"/>
      <c r="AD875" s="101"/>
      <c r="AE875" s="101"/>
      <c r="AF875" s="101"/>
      <c r="AG875" s="101"/>
      <c r="AH875" s="101"/>
      <c r="AI875" s="101"/>
      <c r="AJ875" s="101"/>
      <c r="AK875" s="101"/>
      <c r="AL875" s="101"/>
      <c r="AM875" s="101"/>
      <c r="AN875" s="101"/>
      <c r="AO875" s="101"/>
    </row>
    <row r="876" spans="1:41">
      <c r="A876" s="115"/>
      <c r="B876" s="116"/>
      <c r="C876" s="117"/>
      <c r="D876" s="116"/>
      <c r="E876" s="101"/>
      <c r="F876" s="101"/>
      <c r="G876" s="101"/>
      <c r="H876" s="101"/>
      <c r="I876" s="101"/>
      <c r="J876" s="101"/>
      <c r="K876" s="101"/>
      <c r="L876" s="101"/>
      <c r="M876" s="101"/>
      <c r="N876" s="101"/>
      <c r="O876" s="101"/>
      <c r="P876" s="101"/>
      <c r="Q876" s="101"/>
      <c r="R876" s="101"/>
      <c r="S876" s="101"/>
      <c r="T876" s="101"/>
      <c r="U876" s="101"/>
      <c r="V876" s="101"/>
      <c r="W876" s="101"/>
      <c r="X876" s="101"/>
      <c r="Y876" s="101"/>
      <c r="Z876" s="101"/>
      <c r="AA876" s="101"/>
      <c r="AB876" s="101"/>
      <c r="AC876" s="101"/>
      <c r="AD876" s="101"/>
      <c r="AE876" s="101"/>
      <c r="AF876" s="101"/>
      <c r="AG876" s="101"/>
      <c r="AH876" s="101"/>
      <c r="AI876" s="101"/>
      <c r="AJ876" s="101"/>
      <c r="AK876" s="101"/>
      <c r="AL876" s="101"/>
      <c r="AM876" s="101"/>
      <c r="AN876" s="101"/>
      <c r="AO876" s="101"/>
    </row>
    <row r="877" spans="1:41">
      <c r="A877" s="115"/>
      <c r="B877" s="116"/>
      <c r="C877" s="117"/>
      <c r="D877" s="116"/>
      <c r="E877" s="101"/>
      <c r="F877" s="101"/>
      <c r="G877" s="101"/>
      <c r="H877" s="101"/>
      <c r="I877" s="101"/>
      <c r="J877" s="101"/>
      <c r="K877" s="101"/>
      <c r="L877" s="101"/>
      <c r="M877" s="101"/>
      <c r="N877" s="101"/>
      <c r="O877" s="101"/>
      <c r="P877" s="101"/>
      <c r="Q877" s="101"/>
      <c r="R877" s="101"/>
      <c r="S877" s="101"/>
      <c r="T877" s="101"/>
      <c r="U877" s="101"/>
      <c r="V877" s="101"/>
      <c r="W877" s="101"/>
      <c r="X877" s="101"/>
      <c r="Y877" s="101"/>
      <c r="Z877" s="101"/>
      <c r="AA877" s="101"/>
      <c r="AB877" s="101"/>
      <c r="AC877" s="101"/>
      <c r="AD877" s="101"/>
      <c r="AE877" s="101"/>
      <c r="AF877" s="101"/>
      <c r="AG877" s="101"/>
      <c r="AH877" s="101"/>
      <c r="AI877" s="101"/>
      <c r="AJ877" s="101"/>
      <c r="AK877" s="101"/>
      <c r="AL877" s="101"/>
      <c r="AM877" s="101"/>
      <c r="AN877" s="101"/>
      <c r="AO877" s="101"/>
    </row>
    <row r="878" spans="1:41">
      <c r="A878" s="115"/>
      <c r="B878" s="116"/>
      <c r="C878" s="117"/>
      <c r="D878" s="116"/>
      <c r="E878" s="101"/>
      <c r="F878" s="101"/>
      <c r="G878" s="101"/>
      <c r="H878" s="101"/>
      <c r="I878" s="101"/>
      <c r="J878" s="101"/>
      <c r="K878" s="101"/>
      <c r="L878" s="101"/>
      <c r="M878" s="101"/>
      <c r="N878" s="101"/>
      <c r="O878" s="101"/>
      <c r="P878" s="101"/>
      <c r="Q878" s="101"/>
      <c r="R878" s="101"/>
      <c r="S878" s="101"/>
      <c r="T878" s="101"/>
      <c r="U878" s="101"/>
      <c r="V878" s="101"/>
      <c r="W878" s="101"/>
      <c r="X878" s="101"/>
      <c r="Y878" s="101"/>
      <c r="Z878" s="101"/>
      <c r="AA878" s="101"/>
      <c r="AB878" s="101"/>
      <c r="AC878" s="101"/>
      <c r="AD878" s="101"/>
      <c r="AE878" s="101"/>
      <c r="AF878" s="101"/>
      <c r="AG878" s="101"/>
      <c r="AH878" s="101"/>
      <c r="AI878" s="101"/>
      <c r="AJ878" s="101"/>
      <c r="AK878" s="101"/>
      <c r="AL878" s="101"/>
      <c r="AM878" s="101"/>
      <c r="AN878" s="101"/>
      <c r="AO878" s="101"/>
    </row>
    <row r="879" spans="1:41">
      <c r="A879" s="115"/>
      <c r="B879" s="116"/>
      <c r="C879" s="117"/>
      <c r="D879" s="116"/>
      <c r="E879" s="101"/>
      <c r="F879" s="101"/>
      <c r="G879" s="101"/>
      <c r="H879" s="101"/>
      <c r="I879" s="101"/>
      <c r="J879" s="101"/>
      <c r="K879" s="101"/>
      <c r="L879" s="101"/>
      <c r="M879" s="101"/>
      <c r="N879" s="101"/>
      <c r="O879" s="101"/>
      <c r="P879" s="101"/>
      <c r="Q879" s="101"/>
      <c r="R879" s="101"/>
      <c r="S879" s="101"/>
      <c r="T879" s="101"/>
      <c r="U879" s="101"/>
      <c r="V879" s="101"/>
      <c r="W879" s="101"/>
      <c r="X879" s="101"/>
      <c r="Y879" s="101"/>
      <c r="Z879" s="101"/>
      <c r="AA879" s="101"/>
      <c r="AB879" s="101"/>
      <c r="AC879" s="101"/>
      <c r="AD879" s="101"/>
      <c r="AE879" s="101"/>
      <c r="AF879" s="101"/>
      <c r="AG879" s="101"/>
      <c r="AH879" s="101"/>
      <c r="AI879" s="101"/>
      <c r="AJ879" s="101"/>
      <c r="AK879" s="101"/>
      <c r="AL879" s="101"/>
      <c r="AM879" s="101"/>
      <c r="AN879" s="101"/>
      <c r="AO879" s="101"/>
    </row>
    <row r="880" spans="1:41">
      <c r="A880" s="115"/>
      <c r="B880" s="116"/>
      <c r="C880" s="117"/>
      <c r="D880" s="116"/>
      <c r="E880" s="101"/>
      <c r="F880" s="101"/>
      <c r="G880" s="101"/>
      <c r="H880" s="101"/>
      <c r="I880" s="101"/>
      <c r="J880" s="101"/>
      <c r="K880" s="101"/>
      <c r="L880" s="101"/>
      <c r="M880" s="101"/>
      <c r="N880" s="101"/>
      <c r="O880" s="101"/>
      <c r="P880" s="101"/>
      <c r="Q880" s="101"/>
      <c r="R880" s="101"/>
      <c r="S880" s="101"/>
      <c r="T880" s="101"/>
      <c r="U880" s="101"/>
      <c r="V880" s="101"/>
      <c r="W880" s="101"/>
      <c r="X880" s="101"/>
      <c r="Y880" s="101"/>
      <c r="Z880" s="101"/>
      <c r="AA880" s="101"/>
      <c r="AB880" s="101"/>
      <c r="AC880" s="101"/>
      <c r="AD880" s="101"/>
      <c r="AE880" s="101"/>
      <c r="AF880" s="101"/>
      <c r="AG880" s="101"/>
      <c r="AH880" s="101"/>
      <c r="AI880" s="101"/>
      <c r="AJ880" s="101"/>
      <c r="AK880" s="101"/>
      <c r="AL880" s="101"/>
      <c r="AM880" s="101"/>
      <c r="AN880" s="101"/>
      <c r="AO880" s="101"/>
    </row>
    <row r="881" spans="1:41">
      <c r="A881" s="115"/>
      <c r="B881" s="116"/>
      <c r="C881" s="117"/>
      <c r="D881" s="116"/>
      <c r="E881" s="101"/>
      <c r="F881" s="101"/>
      <c r="G881" s="101"/>
      <c r="H881" s="101"/>
      <c r="I881" s="101"/>
      <c r="J881" s="101"/>
      <c r="K881" s="101"/>
      <c r="L881" s="101"/>
      <c r="M881" s="101"/>
      <c r="N881" s="101"/>
      <c r="O881" s="101"/>
      <c r="P881" s="101"/>
      <c r="Q881" s="101"/>
      <c r="R881" s="101"/>
      <c r="S881" s="101"/>
      <c r="T881" s="101"/>
      <c r="U881" s="101"/>
      <c r="V881" s="101"/>
      <c r="W881" s="101"/>
      <c r="X881" s="101"/>
      <c r="Y881" s="101"/>
      <c r="Z881" s="101"/>
      <c r="AA881" s="101"/>
      <c r="AB881" s="101"/>
      <c r="AC881" s="101"/>
      <c r="AD881" s="101"/>
      <c r="AE881" s="101"/>
      <c r="AF881" s="101"/>
      <c r="AG881" s="101"/>
      <c r="AH881" s="101"/>
      <c r="AI881" s="101"/>
      <c r="AJ881" s="101"/>
      <c r="AK881" s="101"/>
      <c r="AL881" s="101"/>
      <c r="AM881" s="101"/>
      <c r="AN881" s="101"/>
      <c r="AO881" s="101"/>
    </row>
    <row r="882" spans="1:41">
      <c r="A882" s="115"/>
      <c r="B882" s="116"/>
      <c r="C882" s="117"/>
      <c r="D882" s="116"/>
      <c r="E882" s="101"/>
      <c r="F882" s="101"/>
      <c r="G882" s="101"/>
      <c r="H882" s="101"/>
      <c r="I882" s="101"/>
      <c r="J882" s="101"/>
      <c r="K882" s="101"/>
      <c r="L882" s="101"/>
      <c r="M882" s="101"/>
      <c r="N882" s="101"/>
      <c r="O882" s="101"/>
      <c r="P882" s="101"/>
      <c r="Q882" s="101"/>
      <c r="R882" s="101"/>
      <c r="S882" s="101"/>
      <c r="T882" s="101"/>
      <c r="U882" s="101"/>
      <c r="V882" s="101"/>
      <c r="W882" s="101"/>
      <c r="X882" s="101"/>
      <c r="Y882" s="101"/>
      <c r="Z882" s="101"/>
      <c r="AA882" s="101"/>
      <c r="AB882" s="101"/>
      <c r="AC882" s="101"/>
      <c r="AD882" s="101"/>
      <c r="AE882" s="101"/>
      <c r="AF882" s="101"/>
      <c r="AG882" s="101"/>
      <c r="AH882" s="101"/>
      <c r="AI882" s="101"/>
      <c r="AJ882" s="101"/>
      <c r="AK882" s="101"/>
      <c r="AL882" s="101"/>
      <c r="AM882" s="101"/>
      <c r="AN882" s="101"/>
      <c r="AO882" s="101"/>
    </row>
    <row r="883" spans="1:41">
      <c r="A883" s="115"/>
      <c r="B883" s="116"/>
      <c r="C883" s="117"/>
      <c r="D883" s="116"/>
      <c r="E883" s="101"/>
      <c r="F883" s="101"/>
      <c r="G883" s="101"/>
      <c r="H883" s="101"/>
      <c r="I883" s="101"/>
      <c r="J883" s="101"/>
      <c r="K883" s="101"/>
      <c r="L883" s="101"/>
      <c r="M883" s="101"/>
      <c r="N883" s="101"/>
      <c r="O883" s="101"/>
      <c r="P883" s="101"/>
      <c r="Q883" s="101"/>
      <c r="R883" s="101"/>
      <c r="S883" s="101"/>
      <c r="T883" s="101"/>
      <c r="U883" s="101"/>
      <c r="V883" s="101"/>
      <c r="W883" s="101"/>
      <c r="X883" s="101"/>
      <c r="Y883" s="101"/>
      <c r="Z883" s="101"/>
      <c r="AA883" s="101"/>
      <c r="AB883" s="101"/>
      <c r="AC883" s="101"/>
      <c r="AD883" s="101"/>
      <c r="AE883" s="101"/>
      <c r="AF883" s="101"/>
      <c r="AG883" s="101"/>
      <c r="AH883" s="101"/>
      <c r="AI883" s="101"/>
      <c r="AJ883" s="101"/>
      <c r="AK883" s="101"/>
      <c r="AL883" s="101"/>
      <c r="AM883" s="101"/>
      <c r="AN883" s="101"/>
      <c r="AO883" s="101"/>
    </row>
    <row r="884" spans="1:41">
      <c r="A884" s="115"/>
      <c r="B884" s="116"/>
      <c r="C884" s="117"/>
      <c r="D884" s="116"/>
      <c r="E884" s="101"/>
      <c r="F884" s="101"/>
      <c r="G884" s="101"/>
      <c r="H884" s="101"/>
      <c r="I884" s="101"/>
      <c r="J884" s="101"/>
      <c r="K884" s="101"/>
      <c r="L884" s="101"/>
      <c r="M884" s="101"/>
      <c r="N884" s="101"/>
      <c r="O884" s="101"/>
      <c r="P884" s="101"/>
      <c r="Q884" s="101"/>
      <c r="R884" s="101"/>
      <c r="S884" s="101"/>
      <c r="T884" s="101"/>
      <c r="U884" s="101"/>
      <c r="V884" s="101"/>
      <c r="W884" s="101"/>
      <c r="X884" s="101"/>
      <c r="Y884" s="101"/>
      <c r="Z884" s="101"/>
      <c r="AA884" s="101"/>
      <c r="AB884" s="101"/>
      <c r="AC884" s="101"/>
      <c r="AD884" s="101"/>
      <c r="AE884" s="101"/>
      <c r="AF884" s="101"/>
      <c r="AG884" s="101"/>
      <c r="AH884" s="101"/>
      <c r="AI884" s="101"/>
      <c r="AJ884" s="101"/>
      <c r="AK884" s="101"/>
      <c r="AL884" s="101"/>
      <c r="AM884" s="101"/>
      <c r="AN884" s="101"/>
      <c r="AO884" s="101"/>
    </row>
    <row r="885" spans="1:41">
      <c r="A885" s="115"/>
      <c r="B885" s="116"/>
      <c r="C885" s="117"/>
      <c r="D885" s="116"/>
      <c r="E885" s="101"/>
      <c r="F885" s="101"/>
      <c r="G885" s="101"/>
      <c r="H885" s="101"/>
      <c r="I885" s="101"/>
      <c r="J885" s="101"/>
      <c r="K885" s="101"/>
      <c r="L885" s="101"/>
      <c r="M885" s="101"/>
      <c r="N885" s="101"/>
      <c r="O885" s="101"/>
      <c r="P885" s="101"/>
      <c r="Q885" s="101"/>
      <c r="R885" s="101"/>
      <c r="S885" s="101"/>
      <c r="T885" s="101"/>
      <c r="U885" s="101"/>
      <c r="V885" s="101"/>
      <c r="W885" s="101"/>
      <c r="X885" s="101"/>
      <c r="Y885" s="101"/>
      <c r="Z885" s="101"/>
      <c r="AA885" s="101"/>
      <c r="AB885" s="101"/>
      <c r="AC885" s="101"/>
      <c r="AD885" s="101"/>
      <c r="AE885" s="101"/>
      <c r="AF885" s="101"/>
      <c r="AG885" s="101"/>
      <c r="AH885" s="101"/>
      <c r="AI885" s="101"/>
      <c r="AJ885" s="101"/>
      <c r="AK885" s="101"/>
      <c r="AL885" s="101"/>
      <c r="AM885" s="101"/>
      <c r="AN885" s="101"/>
      <c r="AO885" s="101"/>
    </row>
    <row r="886" spans="1:41">
      <c r="A886" s="115"/>
      <c r="B886" s="116"/>
      <c r="C886" s="117"/>
      <c r="D886" s="116"/>
      <c r="E886" s="101"/>
      <c r="F886" s="101"/>
      <c r="G886" s="101"/>
      <c r="H886" s="101"/>
      <c r="I886" s="101"/>
      <c r="J886" s="101"/>
      <c r="K886" s="101"/>
      <c r="L886" s="101"/>
      <c r="M886" s="101"/>
      <c r="N886" s="101"/>
      <c r="O886" s="101"/>
      <c r="P886" s="101"/>
      <c r="Q886" s="101"/>
      <c r="R886" s="101"/>
      <c r="S886" s="101"/>
      <c r="T886" s="101"/>
      <c r="U886" s="101"/>
      <c r="V886" s="101"/>
      <c r="W886" s="101"/>
      <c r="X886" s="101"/>
      <c r="Y886" s="101"/>
      <c r="Z886" s="101"/>
      <c r="AA886" s="101"/>
      <c r="AB886" s="101"/>
      <c r="AC886" s="101"/>
      <c r="AD886" s="101"/>
      <c r="AE886" s="101"/>
      <c r="AF886" s="101"/>
      <c r="AG886" s="101"/>
      <c r="AH886" s="101"/>
      <c r="AI886" s="101"/>
      <c r="AJ886" s="101"/>
      <c r="AK886" s="101"/>
      <c r="AL886" s="101"/>
      <c r="AM886" s="101"/>
      <c r="AN886" s="101"/>
      <c r="AO886" s="101"/>
    </row>
    <row r="887" spans="1:41">
      <c r="A887" s="115"/>
      <c r="B887" s="116"/>
      <c r="C887" s="117"/>
      <c r="D887" s="116"/>
      <c r="E887" s="101"/>
      <c r="F887" s="101"/>
      <c r="G887" s="101"/>
      <c r="H887" s="101"/>
      <c r="I887" s="101"/>
      <c r="J887" s="101"/>
      <c r="K887" s="101"/>
      <c r="L887" s="101"/>
      <c r="M887" s="101"/>
      <c r="N887" s="101"/>
      <c r="O887" s="101"/>
      <c r="P887" s="101"/>
      <c r="Q887" s="101"/>
      <c r="R887" s="101"/>
      <c r="S887" s="101"/>
      <c r="T887" s="101"/>
      <c r="U887" s="101"/>
      <c r="V887" s="101"/>
      <c r="W887" s="101"/>
      <c r="X887" s="101"/>
      <c r="Y887" s="101"/>
      <c r="Z887" s="101"/>
      <c r="AA887" s="101"/>
      <c r="AB887" s="101"/>
      <c r="AC887" s="101"/>
      <c r="AD887" s="101"/>
      <c r="AE887" s="101"/>
      <c r="AF887" s="101"/>
      <c r="AG887" s="101"/>
      <c r="AH887" s="101"/>
      <c r="AI887" s="101"/>
      <c r="AJ887" s="101"/>
      <c r="AK887" s="101"/>
      <c r="AL887" s="101"/>
      <c r="AM887" s="101"/>
      <c r="AN887" s="101"/>
      <c r="AO887" s="101"/>
    </row>
    <row r="888" spans="1:41">
      <c r="A888" s="115"/>
      <c r="B888" s="116"/>
      <c r="C888" s="117"/>
      <c r="D888" s="116"/>
      <c r="E888" s="101"/>
      <c r="F888" s="101"/>
      <c r="G888" s="101"/>
      <c r="H888" s="101"/>
      <c r="I888" s="101"/>
      <c r="J888" s="101"/>
      <c r="K888" s="101"/>
      <c r="L888" s="101"/>
      <c r="M888" s="101"/>
      <c r="N888" s="101"/>
      <c r="O888" s="101"/>
      <c r="P888" s="101"/>
      <c r="Q888" s="101"/>
      <c r="R888" s="101"/>
      <c r="S888" s="101"/>
      <c r="T888" s="101"/>
      <c r="U888" s="101"/>
      <c r="V888" s="101"/>
      <c r="W888" s="101"/>
      <c r="X888" s="101"/>
      <c r="Y888" s="101"/>
      <c r="Z888" s="101"/>
      <c r="AA888" s="101"/>
      <c r="AB888" s="101"/>
      <c r="AC888" s="101"/>
      <c r="AD888" s="101"/>
      <c r="AE888" s="101"/>
      <c r="AF888" s="101"/>
      <c r="AG888" s="101"/>
      <c r="AH888" s="101"/>
      <c r="AI888" s="101"/>
      <c r="AJ888" s="101"/>
      <c r="AK888" s="101"/>
      <c r="AL888" s="101"/>
      <c r="AM888" s="101"/>
      <c r="AN888" s="101"/>
      <c r="AO888" s="101"/>
    </row>
    <row r="889" spans="1:41">
      <c r="A889" s="115"/>
      <c r="B889" s="116"/>
      <c r="C889" s="117"/>
      <c r="D889" s="116"/>
      <c r="E889" s="101"/>
      <c r="F889" s="101"/>
      <c r="G889" s="101"/>
      <c r="H889" s="101"/>
      <c r="I889" s="101"/>
      <c r="J889" s="101"/>
      <c r="K889" s="101"/>
      <c r="L889" s="101"/>
      <c r="M889" s="101"/>
      <c r="N889" s="101"/>
      <c r="O889" s="101"/>
      <c r="P889" s="101"/>
      <c r="Q889" s="101"/>
      <c r="R889" s="101"/>
      <c r="S889" s="101"/>
      <c r="T889" s="101"/>
      <c r="U889" s="101"/>
      <c r="V889" s="101"/>
      <c r="W889" s="101"/>
      <c r="X889" s="101"/>
      <c r="Y889" s="101"/>
      <c r="Z889" s="101"/>
      <c r="AA889" s="101"/>
      <c r="AB889" s="101"/>
      <c r="AC889" s="101"/>
      <c r="AD889" s="101"/>
      <c r="AE889" s="101"/>
      <c r="AF889" s="101"/>
      <c r="AG889" s="101"/>
      <c r="AH889" s="101"/>
      <c r="AI889" s="101"/>
      <c r="AJ889" s="101"/>
      <c r="AK889" s="101"/>
      <c r="AL889" s="101"/>
      <c r="AM889" s="101"/>
      <c r="AN889" s="101"/>
      <c r="AO889" s="101"/>
    </row>
    <row r="890" spans="1:41">
      <c r="A890" s="115"/>
      <c r="B890" s="116"/>
      <c r="C890" s="117"/>
      <c r="D890" s="116"/>
      <c r="E890" s="101"/>
      <c r="F890" s="101"/>
      <c r="G890" s="101"/>
      <c r="H890" s="101"/>
      <c r="I890" s="101"/>
      <c r="J890" s="101"/>
      <c r="K890" s="101"/>
      <c r="L890" s="101"/>
      <c r="M890" s="101"/>
      <c r="N890" s="101"/>
      <c r="O890" s="101"/>
      <c r="P890" s="101"/>
      <c r="Q890" s="101"/>
      <c r="R890" s="101"/>
      <c r="S890" s="101"/>
      <c r="T890" s="101"/>
      <c r="U890" s="101"/>
      <c r="V890" s="101"/>
      <c r="W890" s="101"/>
      <c r="X890" s="101"/>
      <c r="Y890" s="101"/>
      <c r="Z890" s="101"/>
      <c r="AA890" s="101"/>
      <c r="AB890" s="101"/>
      <c r="AC890" s="101"/>
      <c r="AD890" s="101"/>
      <c r="AE890" s="101"/>
      <c r="AF890" s="101"/>
      <c r="AG890" s="101"/>
      <c r="AH890" s="101"/>
      <c r="AI890" s="101"/>
      <c r="AJ890" s="101"/>
      <c r="AK890" s="101"/>
      <c r="AL890" s="101"/>
      <c r="AM890" s="101"/>
      <c r="AN890" s="101"/>
      <c r="AO890" s="101"/>
    </row>
    <row r="891" spans="1:41">
      <c r="A891" s="115"/>
      <c r="B891" s="116"/>
      <c r="C891" s="117"/>
      <c r="D891" s="116"/>
      <c r="E891" s="101"/>
      <c r="F891" s="101"/>
      <c r="G891" s="101"/>
      <c r="H891" s="101"/>
      <c r="I891" s="101"/>
      <c r="J891" s="101"/>
      <c r="K891" s="101"/>
      <c r="L891" s="101"/>
      <c r="M891" s="101"/>
      <c r="N891" s="101"/>
      <c r="O891" s="101"/>
      <c r="P891" s="101"/>
      <c r="Q891" s="101"/>
      <c r="R891" s="101"/>
      <c r="S891" s="101"/>
      <c r="T891" s="101"/>
      <c r="U891" s="101"/>
      <c r="V891" s="101"/>
      <c r="W891" s="101"/>
      <c r="X891" s="101"/>
      <c r="Y891" s="101"/>
      <c r="Z891" s="101"/>
      <c r="AA891" s="101"/>
      <c r="AB891" s="101"/>
      <c r="AC891" s="101"/>
      <c r="AD891" s="101"/>
      <c r="AE891" s="101"/>
      <c r="AF891" s="101"/>
      <c r="AG891" s="101"/>
      <c r="AH891" s="101"/>
      <c r="AI891" s="101"/>
      <c r="AJ891" s="101"/>
      <c r="AK891" s="101"/>
      <c r="AL891" s="101"/>
      <c r="AM891" s="101"/>
      <c r="AN891" s="101"/>
      <c r="AO891" s="101"/>
    </row>
    <row r="892" spans="1:41">
      <c r="A892" s="115"/>
      <c r="B892" s="116"/>
      <c r="C892" s="117"/>
      <c r="D892" s="116"/>
      <c r="E892" s="101"/>
      <c r="F892" s="101"/>
      <c r="G892" s="101"/>
      <c r="H892" s="101"/>
      <c r="I892" s="101"/>
      <c r="J892" s="101"/>
      <c r="K892" s="101"/>
      <c r="L892" s="101"/>
      <c r="M892" s="101"/>
      <c r="N892" s="101"/>
      <c r="O892" s="101"/>
      <c r="P892" s="101"/>
      <c r="Q892" s="101"/>
      <c r="R892" s="101"/>
      <c r="S892" s="101"/>
      <c r="T892" s="101"/>
      <c r="U892" s="101"/>
      <c r="V892" s="101"/>
      <c r="W892" s="101"/>
      <c r="X892" s="101"/>
      <c r="Y892" s="101"/>
      <c r="Z892" s="101"/>
      <c r="AA892" s="101"/>
      <c r="AB892" s="101"/>
      <c r="AC892" s="101"/>
      <c r="AD892" s="101"/>
      <c r="AE892" s="101"/>
      <c r="AF892" s="101"/>
      <c r="AG892" s="101"/>
      <c r="AH892" s="101"/>
      <c r="AI892" s="101"/>
      <c r="AJ892" s="101"/>
      <c r="AK892" s="101"/>
      <c r="AL892" s="101"/>
      <c r="AM892" s="101"/>
      <c r="AN892" s="101"/>
      <c r="AO892" s="101"/>
    </row>
    <row r="893" spans="1:41">
      <c r="A893" s="115"/>
      <c r="B893" s="116"/>
      <c r="C893" s="117"/>
      <c r="D893" s="116"/>
      <c r="E893" s="101"/>
      <c r="F893" s="101"/>
      <c r="G893" s="101"/>
      <c r="H893" s="101"/>
      <c r="I893" s="101"/>
      <c r="J893" s="101"/>
      <c r="K893" s="101"/>
      <c r="L893" s="101"/>
      <c r="M893" s="101"/>
      <c r="N893" s="101"/>
      <c r="O893" s="101"/>
      <c r="P893" s="101"/>
      <c r="Q893" s="101"/>
      <c r="R893" s="101"/>
      <c r="S893" s="101"/>
      <c r="T893" s="101"/>
      <c r="U893" s="101"/>
      <c r="V893" s="101"/>
      <c r="W893" s="101"/>
      <c r="X893" s="101"/>
      <c r="Y893" s="101"/>
      <c r="Z893" s="101"/>
      <c r="AA893" s="101"/>
      <c r="AB893" s="101"/>
      <c r="AC893" s="101"/>
      <c r="AD893" s="101"/>
      <c r="AE893" s="101"/>
      <c r="AF893" s="101"/>
      <c r="AG893" s="101"/>
      <c r="AH893" s="101"/>
      <c r="AI893" s="101"/>
      <c r="AJ893" s="101"/>
      <c r="AK893" s="101"/>
      <c r="AL893" s="101"/>
      <c r="AM893" s="101"/>
      <c r="AN893" s="101"/>
      <c r="AO893" s="101"/>
    </row>
    <row r="894" spans="1:41">
      <c r="A894" s="115"/>
      <c r="B894" s="116"/>
      <c r="C894" s="117"/>
      <c r="D894" s="116"/>
      <c r="E894" s="101"/>
      <c r="F894" s="101"/>
      <c r="G894" s="101"/>
      <c r="H894" s="101"/>
      <c r="I894" s="101"/>
      <c r="J894" s="101"/>
      <c r="K894" s="101"/>
      <c r="L894" s="101"/>
      <c r="M894" s="101"/>
      <c r="N894" s="101"/>
      <c r="O894" s="101"/>
      <c r="P894" s="101"/>
      <c r="Q894" s="101"/>
      <c r="R894" s="101"/>
      <c r="S894" s="101"/>
      <c r="T894" s="101"/>
      <c r="U894" s="101"/>
      <c r="V894" s="101"/>
      <c r="W894" s="101"/>
      <c r="X894" s="101"/>
      <c r="Y894" s="101"/>
      <c r="Z894" s="101"/>
      <c r="AA894" s="101"/>
      <c r="AB894" s="101"/>
      <c r="AC894" s="101"/>
      <c r="AD894" s="101"/>
      <c r="AE894" s="101"/>
      <c r="AF894" s="101"/>
      <c r="AG894" s="101"/>
      <c r="AH894" s="101"/>
      <c r="AI894" s="101"/>
      <c r="AJ894" s="101"/>
      <c r="AK894" s="101"/>
      <c r="AL894" s="101"/>
      <c r="AM894" s="101"/>
      <c r="AN894" s="101"/>
      <c r="AO894" s="101"/>
    </row>
    <row r="895" spans="1:41">
      <c r="A895" s="115"/>
      <c r="B895" s="116"/>
      <c r="C895" s="117"/>
      <c r="D895" s="116"/>
      <c r="E895" s="101"/>
      <c r="F895" s="101"/>
      <c r="G895" s="101"/>
      <c r="H895" s="101"/>
      <c r="I895" s="101"/>
      <c r="J895" s="101"/>
      <c r="K895" s="101"/>
      <c r="L895" s="101"/>
      <c r="M895" s="101"/>
      <c r="N895" s="101"/>
      <c r="O895" s="101"/>
      <c r="P895" s="101"/>
      <c r="Q895" s="101"/>
      <c r="R895" s="101"/>
      <c r="S895" s="101"/>
      <c r="T895" s="101"/>
      <c r="U895" s="101"/>
      <c r="V895" s="101"/>
      <c r="W895" s="101"/>
      <c r="X895" s="101"/>
      <c r="Y895" s="101"/>
      <c r="Z895" s="101"/>
      <c r="AA895" s="101"/>
      <c r="AB895" s="101"/>
      <c r="AC895" s="101"/>
      <c r="AD895" s="101"/>
      <c r="AE895" s="101"/>
      <c r="AF895" s="101"/>
      <c r="AG895" s="101"/>
      <c r="AH895" s="101"/>
      <c r="AI895" s="101"/>
      <c r="AJ895" s="101"/>
      <c r="AK895" s="101"/>
      <c r="AL895" s="101"/>
      <c r="AM895" s="101"/>
      <c r="AN895" s="101"/>
      <c r="AO895" s="101"/>
    </row>
    <row r="896" spans="1:41">
      <c r="A896" s="115"/>
      <c r="B896" s="116"/>
      <c r="C896" s="117"/>
      <c r="D896" s="116"/>
      <c r="E896" s="101"/>
      <c r="F896" s="101"/>
      <c r="G896" s="101"/>
      <c r="H896" s="101"/>
      <c r="I896" s="101"/>
      <c r="J896" s="101"/>
      <c r="K896" s="101"/>
      <c r="L896" s="101"/>
      <c r="M896" s="101"/>
      <c r="N896" s="101"/>
      <c r="O896" s="101"/>
      <c r="P896" s="101"/>
      <c r="Q896" s="101"/>
      <c r="R896" s="101"/>
      <c r="S896" s="101"/>
      <c r="T896" s="101"/>
      <c r="U896" s="101"/>
      <c r="V896" s="101"/>
      <c r="W896" s="101"/>
      <c r="X896" s="101"/>
      <c r="Y896" s="101"/>
      <c r="Z896" s="101"/>
      <c r="AA896" s="101"/>
      <c r="AB896" s="101"/>
      <c r="AC896" s="101"/>
      <c r="AD896" s="101"/>
      <c r="AE896" s="101"/>
      <c r="AF896" s="101"/>
      <c r="AG896" s="101"/>
      <c r="AH896" s="101"/>
      <c r="AI896" s="101"/>
      <c r="AJ896" s="101"/>
      <c r="AK896" s="101"/>
      <c r="AL896" s="101"/>
      <c r="AM896" s="101"/>
      <c r="AN896" s="101"/>
      <c r="AO896" s="101"/>
    </row>
    <row r="897" spans="1:41">
      <c r="A897" s="115"/>
      <c r="B897" s="116"/>
      <c r="C897" s="117"/>
      <c r="D897" s="116"/>
      <c r="E897" s="101"/>
      <c r="F897" s="101"/>
      <c r="G897" s="101"/>
      <c r="H897" s="101"/>
      <c r="I897" s="101"/>
      <c r="J897" s="101"/>
      <c r="K897" s="101"/>
      <c r="L897" s="101"/>
      <c r="M897" s="101"/>
      <c r="N897" s="101"/>
      <c r="O897" s="101"/>
      <c r="P897" s="101"/>
      <c r="Q897" s="101"/>
      <c r="R897" s="101"/>
      <c r="S897" s="101"/>
      <c r="T897" s="101"/>
      <c r="U897" s="101"/>
      <c r="V897" s="101"/>
      <c r="W897" s="101"/>
      <c r="X897" s="101"/>
      <c r="Y897" s="101"/>
      <c r="Z897" s="101"/>
      <c r="AA897" s="101"/>
      <c r="AB897" s="101"/>
      <c r="AC897" s="101"/>
      <c r="AD897" s="101"/>
      <c r="AE897" s="101"/>
      <c r="AF897" s="101"/>
      <c r="AG897" s="101"/>
      <c r="AH897" s="101"/>
      <c r="AI897" s="101"/>
      <c r="AJ897" s="101"/>
      <c r="AK897" s="101"/>
      <c r="AL897" s="101"/>
      <c r="AM897" s="101"/>
      <c r="AN897" s="101"/>
      <c r="AO897" s="101"/>
    </row>
    <row r="898" spans="1:41">
      <c r="A898" s="115"/>
      <c r="B898" s="116"/>
      <c r="C898" s="117"/>
      <c r="D898" s="116"/>
      <c r="E898" s="101"/>
      <c r="F898" s="101"/>
      <c r="G898" s="101"/>
      <c r="H898" s="101"/>
      <c r="I898" s="101"/>
      <c r="J898" s="101"/>
      <c r="K898" s="101"/>
      <c r="L898" s="101"/>
      <c r="M898" s="101"/>
      <c r="N898" s="101"/>
      <c r="O898" s="101"/>
      <c r="P898" s="101"/>
      <c r="Q898" s="101"/>
      <c r="R898" s="101"/>
      <c r="S898" s="101"/>
      <c r="T898" s="101"/>
      <c r="U898" s="101"/>
      <c r="V898" s="101"/>
      <c r="W898" s="101"/>
      <c r="X898" s="101"/>
      <c r="Y898" s="101"/>
      <c r="Z898" s="101"/>
      <c r="AA898" s="101"/>
      <c r="AB898" s="101"/>
      <c r="AC898" s="101"/>
      <c r="AD898" s="101"/>
      <c r="AE898" s="101"/>
      <c r="AF898" s="101"/>
      <c r="AG898" s="101"/>
      <c r="AH898" s="101"/>
      <c r="AI898" s="101"/>
      <c r="AJ898" s="101"/>
      <c r="AK898" s="101"/>
      <c r="AL898" s="101"/>
      <c r="AM898" s="101"/>
      <c r="AN898" s="101"/>
      <c r="AO898" s="101"/>
    </row>
    <row r="899" spans="1:41">
      <c r="A899" s="115"/>
      <c r="B899" s="116"/>
      <c r="C899" s="117"/>
      <c r="D899" s="116"/>
      <c r="E899" s="101"/>
      <c r="F899" s="101"/>
      <c r="G899" s="101"/>
      <c r="H899" s="101"/>
      <c r="I899" s="101"/>
      <c r="J899" s="101"/>
      <c r="K899" s="101"/>
      <c r="L899" s="101"/>
      <c r="M899" s="101"/>
      <c r="N899" s="101"/>
      <c r="O899" s="101"/>
      <c r="P899" s="101"/>
      <c r="Q899" s="101"/>
      <c r="R899" s="101"/>
      <c r="S899" s="101"/>
      <c r="T899" s="101"/>
      <c r="U899" s="101"/>
      <c r="V899" s="101"/>
      <c r="W899" s="101"/>
      <c r="X899" s="101"/>
      <c r="Y899" s="101"/>
      <c r="Z899" s="101"/>
      <c r="AA899" s="101"/>
      <c r="AB899" s="101"/>
      <c r="AC899" s="101"/>
      <c r="AD899" s="101"/>
      <c r="AE899" s="101"/>
      <c r="AF899" s="101"/>
      <c r="AG899" s="101"/>
      <c r="AH899" s="101"/>
      <c r="AI899" s="101"/>
      <c r="AJ899" s="101"/>
      <c r="AK899" s="101"/>
      <c r="AL899" s="101"/>
      <c r="AM899" s="101"/>
      <c r="AN899" s="101"/>
      <c r="AO899" s="101"/>
    </row>
    <row r="900" spans="1:41">
      <c r="A900" s="115"/>
      <c r="B900" s="116"/>
      <c r="C900" s="117"/>
      <c r="D900" s="116"/>
      <c r="E900" s="101"/>
      <c r="F900" s="101"/>
      <c r="G900" s="101"/>
      <c r="H900" s="101"/>
      <c r="I900" s="101"/>
      <c r="J900" s="101"/>
      <c r="K900" s="101"/>
      <c r="L900" s="101"/>
      <c r="M900" s="101"/>
      <c r="N900" s="101"/>
      <c r="O900" s="101"/>
      <c r="P900" s="101"/>
      <c r="Q900" s="101"/>
      <c r="R900" s="101"/>
      <c r="S900" s="101"/>
      <c r="T900" s="101"/>
      <c r="U900" s="101"/>
      <c r="V900" s="101"/>
      <c r="W900" s="101"/>
      <c r="X900" s="101"/>
      <c r="Y900" s="101"/>
      <c r="Z900" s="101"/>
      <c r="AA900" s="101"/>
      <c r="AB900" s="101"/>
      <c r="AC900" s="101"/>
      <c r="AD900" s="101"/>
      <c r="AE900" s="101"/>
      <c r="AF900" s="101"/>
      <c r="AG900" s="101"/>
      <c r="AH900" s="101"/>
      <c r="AI900" s="101"/>
      <c r="AJ900" s="101"/>
      <c r="AK900" s="101"/>
      <c r="AL900" s="101"/>
      <c r="AM900" s="101"/>
      <c r="AN900" s="101"/>
      <c r="AO900" s="101"/>
    </row>
    <row r="901" spans="1:41">
      <c r="A901" s="115"/>
      <c r="B901" s="116"/>
      <c r="C901" s="117"/>
      <c r="D901" s="116"/>
      <c r="E901" s="101"/>
      <c r="F901" s="101"/>
      <c r="G901" s="101"/>
      <c r="H901" s="101"/>
      <c r="I901" s="101"/>
      <c r="J901" s="101"/>
      <c r="K901" s="101"/>
      <c r="L901" s="101"/>
      <c r="M901" s="101"/>
      <c r="N901" s="101"/>
      <c r="O901" s="101"/>
      <c r="P901" s="101"/>
      <c r="Q901" s="101"/>
      <c r="R901" s="101"/>
      <c r="S901" s="101"/>
      <c r="T901" s="101"/>
      <c r="U901" s="101"/>
      <c r="V901" s="101"/>
      <c r="W901" s="101"/>
      <c r="X901" s="101"/>
      <c r="Y901" s="101"/>
      <c r="Z901" s="101"/>
      <c r="AA901" s="101"/>
      <c r="AB901" s="101"/>
      <c r="AC901" s="101"/>
      <c r="AD901" s="101"/>
      <c r="AE901" s="101"/>
      <c r="AF901" s="101"/>
      <c r="AG901" s="101"/>
      <c r="AH901" s="101"/>
      <c r="AI901" s="101"/>
      <c r="AJ901" s="101"/>
      <c r="AK901" s="101"/>
      <c r="AL901" s="101"/>
      <c r="AM901" s="101"/>
      <c r="AN901" s="101"/>
      <c r="AO901" s="101"/>
    </row>
    <row r="902" spans="1:41">
      <c r="A902" s="115"/>
      <c r="B902" s="116"/>
      <c r="C902" s="117"/>
      <c r="D902" s="116"/>
      <c r="E902" s="101"/>
      <c r="F902" s="101"/>
      <c r="G902" s="101"/>
      <c r="H902" s="101"/>
      <c r="I902" s="101"/>
      <c r="J902" s="101"/>
      <c r="K902" s="101"/>
      <c r="L902" s="101"/>
      <c r="M902" s="101"/>
      <c r="N902" s="101"/>
      <c r="O902" s="101"/>
      <c r="P902" s="101"/>
      <c r="Q902" s="101"/>
      <c r="R902" s="101"/>
      <c r="S902" s="101"/>
      <c r="T902" s="101"/>
      <c r="U902" s="101"/>
      <c r="V902" s="101"/>
      <c r="W902" s="101"/>
      <c r="X902" s="101"/>
      <c r="Y902" s="101"/>
      <c r="Z902" s="101"/>
      <c r="AA902" s="101"/>
      <c r="AB902" s="101"/>
      <c r="AC902" s="101"/>
      <c r="AD902" s="101"/>
      <c r="AE902" s="101"/>
      <c r="AF902" s="101"/>
      <c r="AG902" s="101"/>
      <c r="AH902" s="101"/>
      <c r="AI902" s="101"/>
      <c r="AJ902" s="101"/>
      <c r="AK902" s="101"/>
      <c r="AL902" s="101"/>
      <c r="AM902" s="101"/>
      <c r="AN902" s="101"/>
      <c r="AO902" s="101"/>
    </row>
    <row r="903" spans="1:41">
      <c r="A903" s="115"/>
      <c r="B903" s="116"/>
      <c r="C903" s="117"/>
      <c r="D903" s="116"/>
      <c r="E903" s="101"/>
      <c r="F903" s="101"/>
      <c r="G903" s="101"/>
      <c r="H903" s="101"/>
      <c r="I903" s="101"/>
      <c r="J903" s="101"/>
      <c r="K903" s="101"/>
      <c r="L903" s="101"/>
      <c r="M903" s="101"/>
      <c r="N903" s="101"/>
      <c r="O903" s="101"/>
      <c r="P903" s="101"/>
      <c r="Q903" s="101"/>
      <c r="R903" s="101"/>
      <c r="S903" s="101"/>
      <c r="T903" s="101"/>
      <c r="U903" s="101"/>
      <c r="V903" s="101"/>
      <c r="W903" s="101"/>
      <c r="X903" s="101"/>
      <c r="Y903" s="101"/>
      <c r="Z903" s="101"/>
      <c r="AA903" s="101"/>
      <c r="AB903" s="101"/>
      <c r="AC903" s="101"/>
      <c r="AD903" s="101"/>
      <c r="AE903" s="101"/>
      <c r="AF903" s="101"/>
      <c r="AG903" s="101"/>
      <c r="AH903" s="101"/>
      <c r="AI903" s="101"/>
      <c r="AJ903" s="101"/>
      <c r="AK903" s="101"/>
      <c r="AL903" s="101"/>
      <c r="AM903" s="101"/>
      <c r="AN903" s="101"/>
      <c r="AO903" s="101"/>
    </row>
    <row r="904" spans="1:41">
      <c r="A904" s="115"/>
      <c r="B904" s="116"/>
      <c r="C904" s="117"/>
      <c r="D904" s="116"/>
      <c r="E904" s="101"/>
      <c r="F904" s="101"/>
      <c r="G904" s="101"/>
      <c r="H904" s="101"/>
      <c r="I904" s="101"/>
      <c r="J904" s="101"/>
      <c r="K904" s="101"/>
      <c r="L904" s="101"/>
      <c r="M904" s="101"/>
      <c r="N904" s="101"/>
      <c r="O904" s="101"/>
      <c r="P904" s="101"/>
      <c r="Q904" s="101"/>
      <c r="R904" s="101"/>
      <c r="S904" s="101"/>
      <c r="T904" s="101"/>
      <c r="U904" s="101"/>
      <c r="V904" s="101"/>
      <c r="W904" s="101"/>
      <c r="X904" s="101"/>
      <c r="Y904" s="101"/>
      <c r="Z904" s="101"/>
      <c r="AA904" s="101"/>
      <c r="AB904" s="101"/>
      <c r="AC904" s="101"/>
      <c r="AD904" s="101"/>
      <c r="AE904" s="101"/>
      <c r="AF904" s="101"/>
      <c r="AG904" s="101"/>
      <c r="AH904" s="101"/>
      <c r="AI904" s="101"/>
      <c r="AJ904" s="101"/>
      <c r="AK904" s="101"/>
      <c r="AL904" s="101"/>
      <c r="AM904" s="101"/>
      <c r="AN904" s="101"/>
      <c r="AO904" s="101"/>
    </row>
    <row r="905" spans="1:41">
      <c r="A905" s="115"/>
      <c r="B905" s="116"/>
      <c r="C905" s="117"/>
      <c r="D905" s="116"/>
      <c r="E905" s="101"/>
      <c r="F905" s="101"/>
      <c r="G905" s="101"/>
      <c r="H905" s="101"/>
      <c r="I905" s="101"/>
      <c r="J905" s="101"/>
      <c r="K905" s="101"/>
      <c r="L905" s="101"/>
      <c r="M905" s="101"/>
      <c r="N905" s="101"/>
      <c r="O905" s="101"/>
      <c r="P905" s="101"/>
      <c r="Q905" s="101"/>
      <c r="R905" s="101"/>
      <c r="S905" s="101"/>
      <c r="T905" s="101"/>
      <c r="U905" s="101"/>
      <c r="V905" s="101"/>
      <c r="W905" s="101"/>
      <c r="X905" s="101"/>
      <c r="Y905" s="101"/>
      <c r="Z905" s="101"/>
      <c r="AA905" s="101"/>
      <c r="AB905" s="101"/>
      <c r="AC905" s="101"/>
      <c r="AD905" s="101"/>
      <c r="AE905" s="101"/>
      <c r="AF905" s="101"/>
      <c r="AG905" s="101"/>
      <c r="AH905" s="101"/>
      <c r="AI905" s="101"/>
      <c r="AJ905" s="101"/>
      <c r="AK905" s="101"/>
      <c r="AL905" s="101"/>
      <c r="AM905" s="101"/>
      <c r="AN905" s="101"/>
      <c r="AO905" s="101"/>
    </row>
    <row r="906" spans="1:41">
      <c r="A906" s="115"/>
      <c r="B906" s="116"/>
      <c r="C906" s="117"/>
      <c r="D906" s="116"/>
      <c r="E906" s="101"/>
      <c r="F906" s="101"/>
      <c r="G906" s="101"/>
      <c r="H906" s="101"/>
      <c r="I906" s="101"/>
      <c r="J906" s="101"/>
      <c r="K906" s="101"/>
      <c r="L906" s="101"/>
      <c r="M906" s="101"/>
      <c r="N906" s="101"/>
      <c r="O906" s="101"/>
      <c r="P906" s="101"/>
      <c r="Q906" s="101"/>
      <c r="R906" s="101"/>
      <c r="S906" s="101"/>
      <c r="T906" s="101"/>
      <c r="U906" s="101"/>
      <c r="V906" s="101"/>
      <c r="W906" s="101"/>
      <c r="X906" s="101"/>
      <c r="Y906" s="101"/>
      <c r="Z906" s="101"/>
      <c r="AA906" s="101"/>
      <c r="AB906" s="101"/>
      <c r="AC906" s="101"/>
      <c r="AD906" s="101"/>
      <c r="AE906" s="101"/>
      <c r="AF906" s="101"/>
      <c r="AG906" s="101"/>
      <c r="AH906" s="101"/>
      <c r="AI906" s="101"/>
      <c r="AJ906" s="101"/>
      <c r="AK906" s="101"/>
      <c r="AL906" s="101"/>
      <c r="AM906" s="101"/>
      <c r="AN906" s="101"/>
      <c r="AO906" s="101"/>
    </row>
    <row r="907" spans="1:41">
      <c r="A907" s="115"/>
      <c r="B907" s="116"/>
      <c r="C907" s="117"/>
      <c r="D907" s="116"/>
      <c r="E907" s="101"/>
      <c r="F907" s="101"/>
      <c r="G907" s="101"/>
      <c r="H907" s="101"/>
      <c r="I907" s="101"/>
      <c r="J907" s="101"/>
      <c r="K907" s="101"/>
      <c r="L907" s="101"/>
      <c r="M907" s="101"/>
      <c r="N907" s="101"/>
      <c r="O907" s="101"/>
      <c r="P907" s="101"/>
      <c r="Q907" s="101"/>
      <c r="R907" s="101"/>
      <c r="S907" s="101"/>
      <c r="T907" s="101"/>
      <c r="U907" s="101"/>
      <c r="V907" s="101"/>
      <c r="W907" s="101"/>
      <c r="X907" s="101"/>
      <c r="Y907" s="101"/>
      <c r="Z907" s="101"/>
      <c r="AA907" s="101"/>
      <c r="AB907" s="101"/>
      <c r="AC907" s="101"/>
      <c r="AD907" s="101"/>
      <c r="AE907" s="101"/>
      <c r="AF907" s="101"/>
      <c r="AG907" s="101"/>
      <c r="AH907" s="101"/>
      <c r="AI907" s="101"/>
      <c r="AJ907" s="101"/>
      <c r="AK907" s="101"/>
      <c r="AL907" s="101"/>
      <c r="AM907" s="101"/>
      <c r="AN907" s="101"/>
      <c r="AO907" s="101"/>
    </row>
    <row r="908" spans="1:41">
      <c r="A908" s="115"/>
      <c r="B908" s="116"/>
      <c r="C908" s="117"/>
      <c r="D908" s="116"/>
      <c r="E908" s="101"/>
      <c r="F908" s="101"/>
      <c r="G908" s="101"/>
      <c r="H908" s="101"/>
      <c r="I908" s="101"/>
      <c r="J908" s="101"/>
      <c r="K908" s="101"/>
      <c r="L908" s="101"/>
      <c r="M908" s="101"/>
      <c r="N908" s="101"/>
      <c r="O908" s="101"/>
      <c r="P908" s="101"/>
      <c r="Q908" s="101"/>
      <c r="R908" s="101"/>
      <c r="S908" s="101"/>
      <c r="T908" s="101"/>
      <c r="U908" s="101"/>
      <c r="V908" s="101"/>
      <c r="W908" s="101"/>
      <c r="X908" s="101"/>
      <c r="Y908" s="101"/>
      <c r="Z908" s="101"/>
      <c r="AA908" s="101"/>
      <c r="AB908" s="101"/>
      <c r="AC908" s="101"/>
      <c r="AD908" s="101"/>
      <c r="AE908" s="101"/>
      <c r="AF908" s="101"/>
      <c r="AG908" s="101"/>
      <c r="AH908" s="101"/>
      <c r="AI908" s="101"/>
      <c r="AJ908" s="101"/>
      <c r="AK908" s="101"/>
      <c r="AL908" s="101"/>
      <c r="AM908" s="101"/>
      <c r="AN908" s="101"/>
      <c r="AO908" s="101"/>
    </row>
    <row r="909" spans="1:41">
      <c r="A909" s="115"/>
      <c r="B909" s="116"/>
      <c r="C909" s="117"/>
      <c r="D909" s="116"/>
      <c r="E909" s="101"/>
      <c r="F909" s="101"/>
      <c r="G909" s="101"/>
      <c r="H909" s="101"/>
      <c r="I909" s="101"/>
      <c r="J909" s="101"/>
      <c r="K909" s="101"/>
      <c r="L909" s="101"/>
      <c r="M909" s="101"/>
      <c r="N909" s="101"/>
      <c r="O909" s="101"/>
      <c r="P909" s="101"/>
      <c r="Q909" s="101"/>
      <c r="R909" s="101"/>
      <c r="S909" s="101"/>
      <c r="T909" s="101"/>
      <c r="U909" s="101"/>
      <c r="V909" s="101"/>
      <c r="W909" s="101"/>
      <c r="X909" s="101"/>
      <c r="Y909" s="101"/>
      <c r="Z909" s="101"/>
      <c r="AA909" s="101"/>
      <c r="AB909" s="101"/>
      <c r="AC909" s="101"/>
      <c r="AD909" s="101"/>
      <c r="AE909" s="101"/>
      <c r="AF909" s="101"/>
      <c r="AG909" s="101"/>
      <c r="AH909" s="101"/>
      <c r="AI909" s="101"/>
      <c r="AJ909" s="101"/>
      <c r="AK909" s="101"/>
      <c r="AL909" s="101"/>
      <c r="AM909" s="101"/>
      <c r="AN909" s="101"/>
      <c r="AO909" s="101"/>
    </row>
    <row r="910" spans="1:41">
      <c r="A910" s="115"/>
      <c r="B910" s="116"/>
      <c r="C910" s="117"/>
      <c r="D910" s="116"/>
      <c r="E910" s="101"/>
      <c r="F910" s="101"/>
      <c r="G910" s="101"/>
      <c r="H910" s="101"/>
      <c r="I910" s="101"/>
      <c r="J910" s="101"/>
      <c r="K910" s="101"/>
      <c r="L910" s="101"/>
      <c r="M910" s="101"/>
      <c r="N910" s="101"/>
      <c r="O910" s="101"/>
      <c r="P910" s="101"/>
      <c r="Q910" s="101"/>
      <c r="R910" s="101"/>
      <c r="S910" s="101"/>
      <c r="T910" s="101"/>
      <c r="U910" s="101"/>
      <c r="V910" s="101"/>
      <c r="W910" s="101"/>
      <c r="X910" s="101"/>
      <c r="Y910" s="101"/>
      <c r="Z910" s="101"/>
      <c r="AA910" s="101"/>
      <c r="AB910" s="101"/>
      <c r="AC910" s="101"/>
      <c r="AD910" s="101"/>
      <c r="AE910" s="101"/>
      <c r="AF910" s="101"/>
      <c r="AG910" s="101"/>
      <c r="AH910" s="101"/>
      <c r="AI910" s="101"/>
      <c r="AJ910" s="101"/>
      <c r="AK910" s="101"/>
      <c r="AL910" s="101"/>
      <c r="AM910" s="101"/>
      <c r="AN910" s="101"/>
      <c r="AO910" s="101"/>
    </row>
    <row r="911" spans="1:41">
      <c r="A911" s="115"/>
      <c r="B911" s="116"/>
      <c r="C911" s="117"/>
      <c r="D911" s="116"/>
      <c r="E911" s="101"/>
      <c r="F911" s="101"/>
      <c r="G911" s="101"/>
      <c r="H911" s="101"/>
      <c r="I911" s="101"/>
      <c r="J911" s="101"/>
      <c r="K911" s="101"/>
      <c r="L911" s="101"/>
      <c r="M911" s="101"/>
      <c r="N911" s="101"/>
      <c r="O911" s="101"/>
      <c r="P911" s="101"/>
      <c r="Q911" s="101"/>
      <c r="R911" s="101"/>
      <c r="S911" s="101"/>
      <c r="T911" s="101"/>
      <c r="U911" s="101"/>
      <c r="V911" s="101"/>
      <c r="W911" s="101"/>
      <c r="X911" s="101"/>
      <c r="Y911" s="101"/>
      <c r="Z911" s="101"/>
      <c r="AA911" s="101"/>
      <c r="AB911" s="101"/>
      <c r="AC911" s="101"/>
      <c r="AD911" s="101"/>
      <c r="AE911" s="101"/>
      <c r="AF911" s="101"/>
      <c r="AG911" s="101"/>
      <c r="AH911" s="101"/>
      <c r="AI911" s="101"/>
      <c r="AJ911" s="101"/>
      <c r="AK911" s="101"/>
      <c r="AL911" s="101"/>
      <c r="AM911" s="101"/>
      <c r="AN911" s="101"/>
      <c r="AO911" s="101"/>
    </row>
    <row r="912" spans="1:41">
      <c r="A912" s="115"/>
      <c r="B912" s="116"/>
      <c r="C912" s="117"/>
      <c r="D912" s="116"/>
      <c r="E912" s="101"/>
      <c r="F912" s="101"/>
      <c r="G912" s="101"/>
      <c r="H912" s="101"/>
      <c r="I912" s="101"/>
      <c r="J912" s="101"/>
      <c r="K912" s="101"/>
      <c r="L912" s="101"/>
      <c r="M912" s="101"/>
      <c r="N912" s="101"/>
      <c r="O912" s="101"/>
      <c r="P912" s="101"/>
      <c r="Q912" s="101"/>
      <c r="R912" s="101"/>
      <c r="S912" s="101"/>
      <c r="T912" s="101"/>
      <c r="U912" s="101"/>
      <c r="V912" s="101"/>
      <c r="W912" s="101"/>
      <c r="X912" s="101"/>
      <c r="Y912" s="101"/>
      <c r="Z912" s="101"/>
      <c r="AA912" s="101"/>
      <c r="AB912" s="101"/>
      <c r="AC912" s="101"/>
      <c r="AD912" s="101"/>
      <c r="AE912" s="101"/>
      <c r="AF912" s="101"/>
      <c r="AG912" s="101"/>
      <c r="AH912" s="101"/>
      <c r="AI912" s="101"/>
      <c r="AJ912" s="101"/>
      <c r="AK912" s="101"/>
      <c r="AL912" s="101"/>
      <c r="AM912" s="101"/>
      <c r="AN912" s="101"/>
      <c r="AO912" s="101"/>
    </row>
    <row r="913" spans="1:41">
      <c r="A913" s="115"/>
      <c r="B913" s="116"/>
      <c r="C913" s="117"/>
      <c r="D913" s="116"/>
      <c r="E913" s="101"/>
      <c r="F913" s="101"/>
      <c r="G913" s="101"/>
      <c r="H913" s="101"/>
      <c r="I913" s="101"/>
      <c r="J913" s="101"/>
      <c r="K913" s="101"/>
      <c r="L913" s="101"/>
      <c r="M913" s="101"/>
      <c r="N913" s="101"/>
      <c r="O913" s="101"/>
      <c r="P913" s="101"/>
      <c r="Q913" s="101"/>
      <c r="R913" s="101"/>
      <c r="S913" s="101"/>
      <c r="T913" s="101"/>
      <c r="U913" s="101"/>
      <c r="V913" s="101"/>
      <c r="W913" s="101"/>
      <c r="X913" s="101"/>
      <c r="Y913" s="101"/>
      <c r="Z913" s="101"/>
      <c r="AA913" s="101"/>
      <c r="AB913" s="101"/>
      <c r="AC913" s="101"/>
      <c r="AD913" s="101"/>
      <c r="AE913" s="101"/>
      <c r="AF913" s="101"/>
      <c r="AG913" s="101"/>
      <c r="AH913" s="101"/>
      <c r="AI913" s="101"/>
      <c r="AJ913" s="101"/>
      <c r="AK913" s="101"/>
      <c r="AL913" s="101"/>
      <c r="AM913" s="101"/>
      <c r="AN913" s="101"/>
      <c r="AO913" s="101"/>
    </row>
    <row r="914" spans="1:41">
      <c r="A914" s="115"/>
      <c r="B914" s="116"/>
      <c r="C914" s="117"/>
      <c r="D914" s="116"/>
      <c r="E914" s="101"/>
      <c r="F914" s="101"/>
      <c r="G914" s="101"/>
      <c r="H914" s="101"/>
      <c r="I914" s="101"/>
      <c r="J914" s="101"/>
      <c r="K914" s="101"/>
      <c r="L914" s="101"/>
      <c r="M914" s="101"/>
      <c r="N914" s="101"/>
      <c r="O914" s="101"/>
      <c r="P914" s="101"/>
      <c r="Q914" s="101"/>
      <c r="R914" s="101"/>
      <c r="S914" s="101"/>
      <c r="T914" s="101"/>
      <c r="U914" s="101"/>
      <c r="V914" s="101"/>
      <c r="W914" s="101"/>
      <c r="X914" s="101"/>
      <c r="Y914" s="101"/>
      <c r="Z914" s="101"/>
      <c r="AA914" s="101"/>
      <c r="AB914" s="101"/>
      <c r="AC914" s="101"/>
      <c r="AD914" s="101"/>
      <c r="AE914" s="101"/>
      <c r="AF914" s="101"/>
      <c r="AG914" s="101"/>
      <c r="AH914" s="101"/>
      <c r="AI914" s="101"/>
      <c r="AJ914" s="101"/>
      <c r="AK914" s="101"/>
      <c r="AL914" s="101"/>
      <c r="AM914" s="101"/>
      <c r="AN914" s="101"/>
      <c r="AO914" s="101"/>
    </row>
    <row r="915" spans="1:41">
      <c r="A915" s="115"/>
      <c r="B915" s="116"/>
      <c r="C915" s="117"/>
      <c r="D915" s="116"/>
      <c r="E915" s="101"/>
      <c r="F915" s="101"/>
      <c r="G915" s="101"/>
      <c r="H915" s="101"/>
      <c r="I915" s="101"/>
      <c r="J915" s="101"/>
      <c r="K915" s="101"/>
      <c r="L915" s="101"/>
      <c r="M915" s="101"/>
      <c r="N915" s="101"/>
      <c r="O915" s="101"/>
      <c r="P915" s="101"/>
      <c r="Q915" s="101"/>
      <c r="R915" s="101"/>
      <c r="S915" s="101"/>
      <c r="T915" s="101"/>
      <c r="U915" s="101"/>
      <c r="V915" s="101"/>
      <c r="W915" s="101"/>
      <c r="X915" s="101"/>
      <c r="Y915" s="101"/>
      <c r="Z915" s="101"/>
      <c r="AA915" s="101"/>
      <c r="AB915" s="101"/>
      <c r="AC915" s="101"/>
      <c r="AD915" s="101"/>
      <c r="AE915" s="101"/>
      <c r="AF915" s="101"/>
      <c r="AG915" s="101"/>
      <c r="AH915" s="101"/>
      <c r="AI915" s="101"/>
      <c r="AJ915" s="101"/>
      <c r="AK915" s="101"/>
      <c r="AL915" s="101"/>
      <c r="AM915" s="101"/>
      <c r="AN915" s="101"/>
      <c r="AO915" s="101"/>
    </row>
    <row r="916" spans="1:41">
      <c r="A916" s="115"/>
      <c r="B916" s="116"/>
      <c r="C916" s="117"/>
      <c r="D916" s="116"/>
      <c r="E916" s="101"/>
      <c r="F916" s="101"/>
      <c r="G916" s="101"/>
      <c r="H916" s="101"/>
      <c r="I916" s="101"/>
      <c r="J916" s="101"/>
      <c r="K916" s="101"/>
      <c r="L916" s="101"/>
      <c r="M916" s="101"/>
      <c r="N916" s="101"/>
      <c r="O916" s="101"/>
      <c r="P916" s="101"/>
      <c r="Q916" s="101"/>
      <c r="R916" s="101"/>
      <c r="S916" s="101"/>
      <c r="T916" s="101"/>
      <c r="U916" s="101"/>
      <c r="V916" s="101"/>
      <c r="W916" s="101"/>
      <c r="X916" s="101"/>
      <c r="Y916" s="101"/>
      <c r="Z916" s="101"/>
      <c r="AA916" s="101"/>
      <c r="AB916" s="101"/>
      <c r="AC916" s="101"/>
      <c r="AD916" s="101"/>
      <c r="AE916" s="101"/>
      <c r="AF916" s="101"/>
      <c r="AG916" s="101"/>
      <c r="AH916" s="101"/>
      <c r="AI916" s="101"/>
      <c r="AJ916" s="101"/>
      <c r="AK916" s="101"/>
      <c r="AL916" s="101"/>
      <c r="AM916" s="101"/>
      <c r="AN916" s="101"/>
      <c r="AO916" s="101"/>
    </row>
    <row r="917" spans="1:41">
      <c r="A917" s="115"/>
      <c r="B917" s="116"/>
      <c r="C917" s="117"/>
      <c r="D917" s="116"/>
      <c r="E917" s="101"/>
      <c r="F917" s="101"/>
      <c r="G917" s="101"/>
      <c r="H917" s="101"/>
      <c r="I917" s="101"/>
      <c r="J917" s="101"/>
      <c r="K917" s="101"/>
      <c r="L917" s="101"/>
      <c r="M917" s="101"/>
      <c r="N917" s="101"/>
      <c r="O917" s="101"/>
      <c r="P917" s="101"/>
      <c r="Q917" s="101"/>
      <c r="R917" s="101"/>
      <c r="S917" s="101"/>
      <c r="T917" s="101"/>
      <c r="U917" s="101"/>
      <c r="V917" s="101"/>
      <c r="W917" s="101"/>
      <c r="X917" s="101"/>
      <c r="Y917" s="101"/>
      <c r="Z917" s="101"/>
      <c r="AA917" s="101"/>
      <c r="AB917" s="101"/>
      <c r="AC917" s="101"/>
      <c r="AD917" s="101"/>
      <c r="AE917" s="101"/>
      <c r="AF917" s="101"/>
      <c r="AG917" s="101"/>
      <c r="AH917" s="101"/>
      <c r="AI917" s="101"/>
      <c r="AJ917" s="101"/>
      <c r="AK917" s="101"/>
      <c r="AL917" s="101"/>
      <c r="AM917" s="101"/>
      <c r="AN917" s="101"/>
      <c r="AO917" s="101"/>
    </row>
    <row r="918" spans="1:41">
      <c r="A918" s="115"/>
      <c r="B918" s="116"/>
      <c r="C918" s="117"/>
      <c r="D918" s="116"/>
      <c r="E918" s="101"/>
      <c r="F918" s="101"/>
      <c r="G918" s="101"/>
      <c r="H918" s="101"/>
      <c r="I918" s="101"/>
      <c r="J918" s="101"/>
      <c r="K918" s="101"/>
      <c r="L918" s="101"/>
      <c r="M918" s="101"/>
      <c r="N918" s="101"/>
      <c r="O918" s="101"/>
      <c r="P918" s="101"/>
      <c r="Q918" s="101"/>
      <c r="R918" s="101"/>
      <c r="S918" s="101"/>
      <c r="T918" s="101"/>
      <c r="U918" s="101"/>
      <c r="V918" s="101"/>
      <c r="W918" s="101"/>
      <c r="X918" s="101"/>
      <c r="Y918" s="101"/>
      <c r="Z918" s="101"/>
      <c r="AA918" s="101"/>
      <c r="AB918" s="101"/>
      <c r="AC918" s="101"/>
      <c r="AD918" s="101"/>
      <c r="AE918" s="101"/>
      <c r="AF918" s="101"/>
      <c r="AG918" s="101"/>
      <c r="AH918" s="101"/>
      <c r="AI918" s="101"/>
      <c r="AJ918" s="101"/>
      <c r="AK918" s="101"/>
      <c r="AL918" s="101"/>
      <c r="AM918" s="101"/>
      <c r="AN918" s="101"/>
      <c r="AO918" s="101"/>
    </row>
    <row r="919" spans="1:41">
      <c r="A919" s="115"/>
      <c r="B919" s="116"/>
      <c r="C919" s="117"/>
      <c r="D919" s="116"/>
      <c r="E919" s="101"/>
      <c r="F919" s="101"/>
      <c r="G919" s="101"/>
      <c r="H919" s="101"/>
      <c r="I919" s="101"/>
      <c r="J919" s="101"/>
      <c r="K919" s="101"/>
      <c r="L919" s="101"/>
      <c r="M919" s="101"/>
      <c r="N919" s="101"/>
      <c r="O919" s="101"/>
      <c r="P919" s="101"/>
      <c r="Q919" s="101"/>
      <c r="R919" s="101"/>
      <c r="S919" s="101"/>
      <c r="T919" s="101"/>
      <c r="U919" s="101"/>
      <c r="V919" s="101"/>
      <c r="W919" s="101"/>
      <c r="X919" s="101"/>
      <c r="Y919" s="101"/>
      <c r="Z919" s="101"/>
      <c r="AA919" s="101"/>
      <c r="AB919" s="101"/>
      <c r="AC919" s="101"/>
      <c r="AD919" s="101"/>
      <c r="AE919" s="101"/>
      <c r="AF919" s="101"/>
      <c r="AG919" s="101"/>
      <c r="AH919" s="101"/>
      <c r="AI919" s="101"/>
      <c r="AJ919" s="101"/>
      <c r="AK919" s="101"/>
      <c r="AL919" s="101"/>
      <c r="AM919" s="101"/>
      <c r="AN919" s="101"/>
      <c r="AO919" s="101"/>
    </row>
    <row r="920" spans="1:41">
      <c r="A920" s="115"/>
      <c r="B920" s="116"/>
      <c r="C920" s="117"/>
      <c r="D920" s="116"/>
      <c r="E920" s="101"/>
      <c r="F920" s="101"/>
      <c r="G920" s="101"/>
      <c r="H920" s="101"/>
      <c r="I920" s="101"/>
      <c r="J920" s="101"/>
      <c r="K920" s="101"/>
      <c r="L920" s="101"/>
      <c r="M920" s="101"/>
      <c r="N920" s="101"/>
      <c r="O920" s="101"/>
      <c r="P920" s="101"/>
      <c r="Q920" s="101"/>
      <c r="R920" s="101"/>
      <c r="S920" s="101"/>
      <c r="T920" s="101"/>
      <c r="U920" s="101"/>
      <c r="V920" s="101"/>
      <c r="W920" s="101"/>
      <c r="X920" s="101"/>
      <c r="Y920" s="101"/>
      <c r="Z920" s="101"/>
      <c r="AA920" s="101"/>
      <c r="AB920" s="101"/>
      <c r="AC920" s="101"/>
      <c r="AD920" s="101"/>
      <c r="AE920" s="101"/>
      <c r="AF920" s="101"/>
      <c r="AG920" s="101"/>
      <c r="AH920" s="101"/>
      <c r="AI920" s="101"/>
      <c r="AJ920" s="101"/>
      <c r="AK920" s="101"/>
      <c r="AL920" s="101"/>
      <c r="AM920" s="101"/>
      <c r="AN920" s="101"/>
      <c r="AO920" s="101"/>
    </row>
    <row r="921" spans="1:41">
      <c r="A921" s="115"/>
      <c r="B921" s="116"/>
      <c r="C921" s="117"/>
      <c r="D921" s="116"/>
      <c r="E921" s="101"/>
      <c r="F921" s="101"/>
      <c r="G921" s="101"/>
      <c r="H921" s="101"/>
      <c r="I921" s="101"/>
      <c r="J921" s="101"/>
      <c r="K921" s="101"/>
      <c r="L921" s="101"/>
      <c r="M921" s="101"/>
      <c r="N921" s="101"/>
      <c r="O921" s="101"/>
      <c r="P921" s="101"/>
      <c r="Q921" s="101"/>
      <c r="R921" s="101"/>
      <c r="S921" s="101"/>
      <c r="T921" s="101"/>
      <c r="U921" s="101"/>
      <c r="V921" s="101"/>
      <c r="W921" s="101"/>
      <c r="X921" s="101"/>
      <c r="Y921" s="101"/>
      <c r="Z921" s="101"/>
      <c r="AA921" s="101"/>
      <c r="AB921" s="101"/>
      <c r="AC921" s="101"/>
      <c r="AD921" s="101"/>
      <c r="AE921" s="101"/>
      <c r="AF921" s="101"/>
      <c r="AG921" s="101"/>
      <c r="AH921" s="101"/>
      <c r="AI921" s="101"/>
      <c r="AJ921" s="101"/>
      <c r="AK921" s="101"/>
      <c r="AL921" s="101"/>
      <c r="AM921" s="101"/>
      <c r="AN921" s="101"/>
      <c r="AO921" s="101"/>
    </row>
    <row r="922" spans="1:41">
      <c r="A922" s="115"/>
      <c r="B922" s="116"/>
      <c r="C922" s="117"/>
      <c r="D922" s="116"/>
      <c r="E922" s="101"/>
      <c r="F922" s="101"/>
      <c r="G922" s="101"/>
      <c r="H922" s="101"/>
      <c r="I922" s="101"/>
      <c r="J922" s="101"/>
      <c r="K922" s="101"/>
      <c r="L922" s="101"/>
      <c r="M922" s="101"/>
      <c r="N922" s="101"/>
      <c r="O922" s="101"/>
      <c r="P922" s="101"/>
      <c r="Q922" s="101"/>
      <c r="R922" s="101"/>
      <c r="S922" s="101"/>
      <c r="T922" s="101"/>
      <c r="U922" s="101"/>
      <c r="V922" s="101"/>
      <c r="W922" s="101"/>
      <c r="X922" s="101"/>
      <c r="Y922" s="101"/>
      <c r="Z922" s="101"/>
      <c r="AA922" s="101"/>
      <c r="AB922" s="101"/>
      <c r="AC922" s="101"/>
      <c r="AD922" s="101"/>
      <c r="AE922" s="101"/>
      <c r="AF922" s="101"/>
      <c r="AG922" s="101"/>
      <c r="AH922" s="101"/>
      <c r="AI922" s="101"/>
      <c r="AJ922" s="101"/>
      <c r="AK922" s="101"/>
      <c r="AL922" s="101"/>
      <c r="AM922" s="101"/>
      <c r="AN922" s="101"/>
      <c r="AO922" s="101"/>
    </row>
    <row r="923" spans="1:41">
      <c r="A923" s="115"/>
      <c r="B923" s="116"/>
      <c r="C923" s="117"/>
      <c r="D923" s="116"/>
      <c r="E923" s="101"/>
      <c r="F923" s="101"/>
      <c r="G923" s="101"/>
      <c r="H923" s="101"/>
      <c r="I923" s="101"/>
      <c r="J923" s="101"/>
      <c r="K923" s="101"/>
      <c r="L923" s="101"/>
      <c r="M923" s="101"/>
      <c r="N923" s="101"/>
      <c r="O923" s="101"/>
      <c r="P923" s="101"/>
      <c r="Q923" s="101"/>
      <c r="R923" s="101"/>
      <c r="S923" s="101"/>
      <c r="T923" s="101"/>
      <c r="U923" s="101"/>
      <c r="V923" s="101"/>
      <c r="W923" s="101"/>
      <c r="X923" s="101"/>
      <c r="Y923" s="101"/>
      <c r="Z923" s="101"/>
      <c r="AA923" s="101"/>
      <c r="AB923" s="101"/>
      <c r="AC923" s="101"/>
      <c r="AD923" s="101"/>
      <c r="AE923" s="101"/>
      <c r="AF923" s="101"/>
      <c r="AG923" s="101"/>
      <c r="AH923" s="101"/>
      <c r="AI923" s="101"/>
      <c r="AJ923" s="101"/>
      <c r="AK923" s="101"/>
      <c r="AL923" s="101"/>
      <c r="AM923" s="101"/>
      <c r="AN923" s="101"/>
      <c r="AO923" s="101"/>
    </row>
    <row r="924" spans="1:41">
      <c r="A924" s="115"/>
      <c r="B924" s="116"/>
      <c r="C924" s="117"/>
      <c r="D924" s="116"/>
      <c r="E924" s="101"/>
      <c r="F924" s="101"/>
      <c r="G924" s="101"/>
      <c r="H924" s="101"/>
      <c r="I924" s="101"/>
      <c r="J924" s="101"/>
      <c r="K924" s="101"/>
      <c r="L924" s="101"/>
      <c r="M924" s="101"/>
      <c r="N924" s="101"/>
      <c r="O924" s="101"/>
      <c r="P924" s="101"/>
      <c r="Q924" s="101"/>
      <c r="R924" s="101"/>
      <c r="S924" s="101"/>
      <c r="T924" s="101"/>
      <c r="U924" s="101"/>
      <c r="V924" s="101"/>
      <c r="W924" s="101"/>
      <c r="X924" s="101"/>
      <c r="Y924" s="101"/>
      <c r="Z924" s="101"/>
      <c r="AA924" s="101"/>
      <c r="AB924" s="101"/>
      <c r="AC924" s="101"/>
      <c r="AD924" s="101"/>
      <c r="AE924" s="101"/>
      <c r="AF924" s="101"/>
      <c r="AG924" s="101"/>
      <c r="AH924" s="101"/>
      <c r="AI924" s="101"/>
      <c r="AJ924" s="101"/>
      <c r="AK924" s="101"/>
      <c r="AL924" s="101"/>
      <c r="AM924" s="101"/>
      <c r="AN924" s="101"/>
      <c r="AO924" s="101"/>
    </row>
    <row r="925" spans="1:41">
      <c r="A925" s="115"/>
      <c r="B925" s="116"/>
      <c r="C925" s="117"/>
      <c r="D925" s="116"/>
      <c r="E925" s="101"/>
      <c r="F925" s="101"/>
      <c r="G925" s="101"/>
      <c r="H925" s="101"/>
      <c r="I925" s="101"/>
      <c r="J925" s="101"/>
      <c r="K925" s="101"/>
      <c r="L925" s="101"/>
      <c r="M925" s="101"/>
      <c r="N925" s="101"/>
      <c r="O925" s="101"/>
      <c r="P925" s="101"/>
      <c r="Q925" s="101"/>
      <c r="R925" s="101"/>
      <c r="S925" s="101"/>
      <c r="T925" s="101"/>
      <c r="U925" s="101"/>
      <c r="V925" s="101"/>
      <c r="W925" s="101"/>
      <c r="X925" s="101"/>
      <c r="Y925" s="101"/>
      <c r="Z925" s="101"/>
      <c r="AA925" s="101"/>
      <c r="AB925" s="101"/>
      <c r="AC925" s="101"/>
      <c r="AD925" s="101"/>
      <c r="AE925" s="101"/>
      <c r="AF925" s="101"/>
      <c r="AG925" s="101"/>
      <c r="AH925" s="101"/>
      <c r="AI925" s="101"/>
      <c r="AJ925" s="101"/>
      <c r="AK925" s="101"/>
      <c r="AL925" s="101"/>
      <c r="AM925" s="101"/>
      <c r="AN925" s="101"/>
      <c r="AO925" s="101"/>
    </row>
    <row r="926" spans="1:41">
      <c r="A926" s="115"/>
      <c r="B926" s="116"/>
      <c r="C926" s="117"/>
      <c r="D926" s="116"/>
      <c r="E926" s="101"/>
      <c r="F926" s="101"/>
      <c r="G926" s="101"/>
      <c r="H926" s="101"/>
      <c r="I926" s="101"/>
      <c r="J926" s="101"/>
      <c r="K926" s="101"/>
      <c r="L926" s="101"/>
      <c r="M926" s="101"/>
      <c r="N926" s="101"/>
      <c r="O926" s="101"/>
      <c r="P926" s="101"/>
      <c r="Q926" s="101"/>
      <c r="R926" s="101"/>
      <c r="S926" s="101"/>
      <c r="T926" s="101"/>
      <c r="U926" s="101"/>
      <c r="V926" s="101"/>
      <c r="W926" s="101"/>
      <c r="X926" s="101"/>
      <c r="Y926" s="101"/>
      <c r="Z926" s="101"/>
      <c r="AA926" s="101"/>
      <c r="AB926" s="101"/>
      <c r="AC926" s="101"/>
      <c r="AD926" s="101"/>
      <c r="AE926" s="101"/>
      <c r="AF926" s="101"/>
      <c r="AG926" s="101"/>
      <c r="AH926" s="101"/>
      <c r="AI926" s="101"/>
      <c r="AJ926" s="101"/>
      <c r="AK926" s="101"/>
      <c r="AL926" s="101"/>
      <c r="AM926" s="101"/>
      <c r="AN926" s="101"/>
      <c r="AO926" s="101"/>
    </row>
    <row r="927" spans="1:41">
      <c r="A927" s="115"/>
      <c r="B927" s="116"/>
      <c r="C927" s="117"/>
      <c r="D927" s="116"/>
      <c r="E927" s="101"/>
      <c r="F927" s="101"/>
      <c r="G927" s="101"/>
      <c r="H927" s="101"/>
      <c r="I927" s="101"/>
      <c r="J927" s="101"/>
      <c r="K927" s="101"/>
      <c r="L927" s="101"/>
      <c r="M927" s="101"/>
      <c r="N927" s="101"/>
      <c r="O927" s="101"/>
      <c r="P927" s="101"/>
      <c r="Q927" s="101"/>
      <c r="R927" s="101"/>
      <c r="S927" s="101"/>
      <c r="T927" s="101"/>
      <c r="U927" s="101"/>
      <c r="V927" s="101"/>
      <c r="W927" s="101"/>
      <c r="X927" s="101"/>
      <c r="Y927" s="101"/>
      <c r="Z927" s="101"/>
      <c r="AA927" s="101"/>
      <c r="AB927" s="101"/>
      <c r="AC927" s="101"/>
      <c r="AD927" s="101"/>
      <c r="AE927" s="101"/>
      <c r="AF927" s="101"/>
      <c r="AG927" s="101"/>
      <c r="AH927" s="101"/>
      <c r="AI927" s="101"/>
      <c r="AJ927" s="101"/>
      <c r="AK927" s="101"/>
      <c r="AL927" s="101"/>
      <c r="AM927" s="101"/>
      <c r="AN927" s="101"/>
      <c r="AO927" s="101"/>
    </row>
    <row r="928" spans="1:41">
      <c r="A928" s="115"/>
      <c r="B928" s="116"/>
      <c r="C928" s="117"/>
      <c r="D928" s="116"/>
      <c r="E928" s="101"/>
      <c r="F928" s="101"/>
      <c r="G928" s="101"/>
      <c r="H928" s="101"/>
      <c r="I928" s="101"/>
      <c r="J928" s="101"/>
      <c r="K928" s="101"/>
      <c r="L928" s="101"/>
      <c r="M928" s="101"/>
      <c r="N928" s="101"/>
      <c r="O928" s="101"/>
      <c r="P928" s="101"/>
      <c r="Q928" s="101"/>
      <c r="R928" s="101"/>
      <c r="S928" s="101"/>
      <c r="T928" s="101"/>
      <c r="U928" s="101"/>
      <c r="V928" s="101"/>
      <c r="W928" s="101"/>
      <c r="X928" s="101"/>
      <c r="Y928" s="101"/>
      <c r="Z928" s="101"/>
      <c r="AA928" s="101"/>
      <c r="AB928" s="101"/>
      <c r="AC928" s="101"/>
      <c r="AD928" s="101"/>
      <c r="AE928" s="101"/>
      <c r="AF928" s="101"/>
      <c r="AG928" s="101"/>
      <c r="AH928" s="101"/>
      <c r="AI928" s="101"/>
      <c r="AJ928" s="101"/>
      <c r="AK928" s="101"/>
      <c r="AL928" s="101"/>
      <c r="AM928" s="101"/>
      <c r="AN928" s="101"/>
      <c r="AO928" s="101"/>
    </row>
    <row r="929" spans="1:41">
      <c r="A929" s="115"/>
      <c r="B929" s="116"/>
      <c r="C929" s="117"/>
      <c r="D929" s="116"/>
      <c r="E929" s="101"/>
      <c r="F929" s="101"/>
      <c r="G929" s="101"/>
      <c r="H929" s="101"/>
      <c r="I929" s="101"/>
      <c r="J929" s="101"/>
      <c r="K929" s="101"/>
      <c r="L929" s="101"/>
      <c r="M929" s="101"/>
      <c r="N929" s="101"/>
      <c r="O929" s="101"/>
      <c r="P929" s="101"/>
      <c r="Q929" s="101"/>
      <c r="R929" s="101"/>
      <c r="S929" s="101"/>
      <c r="T929" s="101"/>
      <c r="U929" s="101"/>
      <c r="V929" s="101"/>
      <c r="W929" s="101"/>
      <c r="X929" s="101"/>
      <c r="Y929" s="101"/>
      <c r="Z929" s="101"/>
      <c r="AA929" s="101"/>
      <c r="AB929" s="101"/>
      <c r="AC929" s="101"/>
      <c r="AD929" s="101"/>
      <c r="AE929" s="101"/>
      <c r="AF929" s="101"/>
      <c r="AG929" s="101"/>
      <c r="AH929" s="101"/>
      <c r="AI929" s="101"/>
      <c r="AJ929" s="101"/>
      <c r="AK929" s="101"/>
      <c r="AL929" s="101"/>
      <c r="AM929" s="101"/>
      <c r="AN929" s="101"/>
      <c r="AO929" s="101"/>
    </row>
    <row r="930" spans="1:41">
      <c r="A930" s="115"/>
      <c r="B930" s="116"/>
      <c r="C930" s="117"/>
      <c r="D930" s="116"/>
      <c r="E930" s="101"/>
      <c r="F930" s="101"/>
      <c r="G930" s="101"/>
      <c r="H930" s="101"/>
      <c r="I930" s="101"/>
      <c r="J930" s="101"/>
      <c r="K930" s="101"/>
      <c r="L930" s="101"/>
      <c r="M930" s="101"/>
      <c r="N930" s="101"/>
      <c r="O930" s="101"/>
      <c r="P930" s="101"/>
      <c r="Q930" s="101"/>
      <c r="R930" s="101"/>
      <c r="S930" s="101"/>
      <c r="T930" s="101"/>
      <c r="U930" s="101"/>
      <c r="V930" s="101"/>
      <c r="W930" s="101"/>
      <c r="X930" s="101"/>
      <c r="Y930" s="101"/>
      <c r="Z930" s="101"/>
      <c r="AA930" s="101"/>
      <c r="AB930" s="101"/>
      <c r="AC930" s="101"/>
      <c r="AD930" s="101"/>
      <c r="AE930" s="101"/>
      <c r="AF930" s="101"/>
      <c r="AG930" s="101"/>
      <c r="AH930" s="101"/>
      <c r="AI930" s="101"/>
      <c r="AJ930" s="101"/>
      <c r="AK930" s="101"/>
      <c r="AL930" s="101"/>
      <c r="AM930" s="101"/>
      <c r="AN930" s="101"/>
      <c r="AO930" s="101"/>
    </row>
    <row r="931" spans="1:41">
      <c r="A931" s="115"/>
      <c r="B931" s="116"/>
      <c r="C931" s="117"/>
      <c r="D931" s="116"/>
      <c r="E931" s="101"/>
      <c r="F931" s="101"/>
      <c r="G931" s="101"/>
      <c r="H931" s="101"/>
      <c r="I931" s="101"/>
      <c r="J931" s="101"/>
      <c r="K931" s="101"/>
      <c r="L931" s="101"/>
      <c r="M931" s="101"/>
      <c r="N931" s="101"/>
      <c r="O931" s="101"/>
      <c r="P931" s="101"/>
      <c r="Q931" s="101"/>
      <c r="R931" s="101"/>
      <c r="S931" s="101"/>
      <c r="T931" s="101"/>
      <c r="U931" s="101"/>
      <c r="V931" s="101"/>
      <c r="W931" s="101"/>
      <c r="X931" s="101"/>
      <c r="Y931" s="101"/>
      <c r="Z931" s="101"/>
      <c r="AA931" s="101"/>
      <c r="AB931" s="101"/>
      <c r="AC931" s="101"/>
      <c r="AD931" s="101"/>
      <c r="AE931" s="101"/>
      <c r="AF931" s="101"/>
      <c r="AG931" s="101"/>
      <c r="AH931" s="101"/>
      <c r="AI931" s="101"/>
      <c r="AJ931" s="101"/>
      <c r="AK931" s="101"/>
      <c r="AL931" s="101"/>
      <c r="AM931" s="101"/>
      <c r="AN931" s="101"/>
      <c r="AO931" s="101"/>
    </row>
    <row r="932" spans="1:41">
      <c r="A932" s="115"/>
      <c r="B932" s="116"/>
      <c r="C932" s="117"/>
      <c r="D932" s="116"/>
      <c r="E932" s="101"/>
      <c r="F932" s="101"/>
      <c r="G932" s="101"/>
      <c r="H932" s="101"/>
      <c r="I932" s="101"/>
      <c r="J932" s="101"/>
      <c r="K932" s="101"/>
      <c r="L932" s="101"/>
      <c r="M932" s="101"/>
      <c r="N932" s="101"/>
      <c r="O932" s="101"/>
      <c r="P932" s="101"/>
      <c r="Q932" s="101"/>
      <c r="R932" s="101"/>
      <c r="S932" s="101"/>
      <c r="T932" s="101"/>
      <c r="U932" s="101"/>
      <c r="V932" s="101"/>
      <c r="W932" s="101"/>
      <c r="X932" s="101"/>
      <c r="Y932" s="101"/>
      <c r="Z932" s="101"/>
      <c r="AA932" s="101"/>
      <c r="AB932" s="101"/>
      <c r="AC932" s="101"/>
      <c r="AD932" s="101"/>
      <c r="AE932" s="101"/>
      <c r="AF932" s="101"/>
      <c r="AG932" s="101"/>
      <c r="AH932" s="101"/>
      <c r="AI932" s="101"/>
      <c r="AJ932" s="101"/>
      <c r="AK932" s="101"/>
      <c r="AL932" s="101"/>
      <c r="AM932" s="101"/>
      <c r="AN932" s="101"/>
      <c r="AO932" s="101"/>
    </row>
    <row r="933" spans="1:41">
      <c r="A933" s="115"/>
      <c r="B933" s="116"/>
      <c r="C933" s="117"/>
      <c r="D933" s="116"/>
      <c r="E933" s="101"/>
      <c r="F933" s="101"/>
      <c r="G933" s="101"/>
      <c r="H933" s="101"/>
      <c r="I933" s="101"/>
      <c r="J933" s="101"/>
      <c r="K933" s="101"/>
      <c r="L933" s="101"/>
      <c r="M933" s="101"/>
      <c r="N933" s="101"/>
      <c r="O933" s="101"/>
      <c r="P933" s="101"/>
      <c r="Q933" s="101"/>
      <c r="R933" s="101"/>
      <c r="S933" s="101"/>
      <c r="T933" s="101"/>
      <c r="U933" s="101"/>
      <c r="V933" s="101"/>
      <c r="W933" s="101"/>
      <c r="X933" s="101"/>
      <c r="Y933" s="101"/>
      <c r="Z933" s="101"/>
      <c r="AA933" s="101"/>
      <c r="AB933" s="101"/>
      <c r="AC933" s="101"/>
      <c r="AD933" s="101"/>
      <c r="AE933" s="101"/>
      <c r="AF933" s="101"/>
      <c r="AG933" s="101"/>
      <c r="AH933" s="101"/>
      <c r="AI933" s="101"/>
      <c r="AJ933" s="101"/>
      <c r="AK933" s="101"/>
      <c r="AL933" s="101"/>
      <c r="AM933" s="101"/>
      <c r="AN933" s="101"/>
      <c r="AO933" s="101"/>
    </row>
    <row r="934" spans="1:41">
      <c r="A934" s="115"/>
      <c r="B934" s="116"/>
      <c r="C934" s="117"/>
      <c r="D934" s="116"/>
      <c r="E934" s="101"/>
      <c r="F934" s="101"/>
      <c r="G934" s="101"/>
      <c r="H934" s="101"/>
      <c r="I934" s="101"/>
      <c r="J934" s="101"/>
      <c r="K934" s="101"/>
      <c r="L934" s="101"/>
      <c r="M934" s="101"/>
      <c r="N934" s="101"/>
      <c r="O934" s="101"/>
      <c r="P934" s="101"/>
      <c r="Q934" s="101"/>
      <c r="R934" s="101"/>
      <c r="S934" s="101"/>
      <c r="T934" s="101"/>
      <c r="U934" s="101"/>
      <c r="V934" s="101"/>
      <c r="W934" s="101"/>
      <c r="X934" s="101"/>
      <c r="Y934" s="101"/>
      <c r="Z934" s="101"/>
      <c r="AA934" s="101"/>
      <c r="AB934" s="101"/>
      <c r="AC934" s="101"/>
      <c r="AD934" s="101"/>
      <c r="AE934" s="101"/>
      <c r="AF934" s="101"/>
      <c r="AG934" s="101"/>
      <c r="AH934" s="101"/>
      <c r="AI934" s="101"/>
      <c r="AJ934" s="101"/>
      <c r="AK934" s="101"/>
      <c r="AL934" s="101"/>
      <c r="AM934" s="101"/>
      <c r="AN934" s="101"/>
      <c r="AO934" s="101"/>
    </row>
    <row r="935" spans="1:41">
      <c r="A935" s="115"/>
      <c r="B935" s="116"/>
      <c r="C935" s="117"/>
      <c r="D935" s="116"/>
      <c r="E935" s="101"/>
      <c r="F935" s="101"/>
      <c r="G935" s="101"/>
      <c r="H935" s="101"/>
      <c r="I935" s="101"/>
      <c r="J935" s="101"/>
      <c r="K935" s="101"/>
      <c r="L935" s="101"/>
      <c r="M935" s="101"/>
      <c r="N935" s="101"/>
      <c r="O935" s="101"/>
      <c r="P935" s="101"/>
      <c r="Q935" s="101"/>
      <c r="R935" s="101"/>
      <c r="S935" s="101"/>
      <c r="T935" s="101"/>
      <c r="U935" s="101"/>
      <c r="V935" s="101"/>
      <c r="W935" s="101"/>
      <c r="X935" s="101"/>
      <c r="Y935" s="101"/>
      <c r="Z935" s="101"/>
      <c r="AA935" s="101"/>
      <c r="AB935" s="101"/>
      <c r="AC935" s="101"/>
      <c r="AD935" s="101"/>
      <c r="AE935" s="101"/>
      <c r="AF935" s="101"/>
      <c r="AG935" s="101"/>
      <c r="AH935" s="101"/>
      <c r="AI935" s="101"/>
      <c r="AJ935" s="101"/>
      <c r="AK935" s="101"/>
      <c r="AL935" s="101"/>
      <c r="AM935" s="101"/>
      <c r="AN935" s="101"/>
      <c r="AO935" s="101"/>
    </row>
    <row r="936" spans="1:41">
      <c r="A936" s="115"/>
      <c r="B936" s="116"/>
      <c r="C936" s="117"/>
      <c r="D936" s="116"/>
      <c r="E936" s="101"/>
      <c r="F936" s="101"/>
      <c r="G936" s="101"/>
      <c r="H936" s="101"/>
      <c r="I936" s="101"/>
      <c r="J936" s="101"/>
      <c r="K936" s="101"/>
      <c r="L936" s="101"/>
      <c r="M936" s="101"/>
      <c r="N936" s="101"/>
      <c r="O936" s="101"/>
      <c r="P936" s="101"/>
      <c r="Q936" s="101"/>
      <c r="R936" s="101"/>
      <c r="S936" s="101"/>
      <c r="T936" s="101"/>
      <c r="U936" s="101"/>
      <c r="V936" s="101"/>
      <c r="W936" s="101"/>
      <c r="X936" s="101"/>
      <c r="Y936" s="101"/>
      <c r="Z936" s="101"/>
      <c r="AA936" s="101"/>
      <c r="AB936" s="101"/>
      <c r="AC936" s="101"/>
      <c r="AD936" s="101"/>
      <c r="AE936" s="101"/>
      <c r="AF936" s="101"/>
      <c r="AG936" s="101"/>
      <c r="AH936" s="101"/>
      <c r="AI936" s="101"/>
      <c r="AJ936" s="101"/>
      <c r="AK936" s="101"/>
      <c r="AL936" s="101"/>
      <c r="AM936" s="101"/>
      <c r="AN936" s="101"/>
      <c r="AO936" s="101"/>
    </row>
    <row r="937" spans="1:41">
      <c r="A937" s="115"/>
      <c r="B937" s="116"/>
      <c r="C937" s="117"/>
      <c r="D937" s="116"/>
      <c r="E937" s="101"/>
      <c r="F937" s="101"/>
      <c r="G937" s="101"/>
      <c r="H937" s="101"/>
      <c r="I937" s="101"/>
      <c r="J937" s="101"/>
      <c r="K937" s="101"/>
      <c r="L937" s="101"/>
      <c r="M937" s="101"/>
      <c r="N937" s="101"/>
      <c r="O937" s="101"/>
      <c r="P937" s="101"/>
      <c r="Q937" s="101"/>
      <c r="R937" s="101"/>
      <c r="S937" s="101"/>
      <c r="T937" s="101"/>
      <c r="U937" s="101"/>
      <c r="V937" s="101"/>
      <c r="W937" s="101"/>
      <c r="X937" s="101"/>
      <c r="Y937" s="101"/>
      <c r="Z937" s="101"/>
      <c r="AA937" s="101"/>
      <c r="AB937" s="101"/>
      <c r="AC937" s="101"/>
      <c r="AD937" s="101"/>
      <c r="AE937" s="101"/>
      <c r="AF937" s="101"/>
      <c r="AG937" s="101"/>
      <c r="AH937" s="101"/>
      <c r="AI937" s="101"/>
      <c r="AJ937" s="101"/>
      <c r="AK937" s="101"/>
      <c r="AL937" s="101"/>
      <c r="AM937" s="101"/>
      <c r="AN937" s="101"/>
      <c r="AO937" s="101"/>
    </row>
    <row r="938" spans="1:41">
      <c r="A938" s="115"/>
      <c r="B938" s="116"/>
      <c r="C938" s="117"/>
      <c r="D938" s="116"/>
      <c r="E938" s="101"/>
      <c r="F938" s="101"/>
      <c r="G938" s="101"/>
      <c r="H938" s="101"/>
      <c r="I938" s="101"/>
      <c r="J938" s="101"/>
      <c r="K938" s="101"/>
      <c r="L938" s="101"/>
      <c r="M938" s="101"/>
      <c r="N938" s="101"/>
      <c r="O938" s="101"/>
      <c r="P938" s="101"/>
      <c r="Q938" s="101"/>
      <c r="R938" s="101"/>
      <c r="S938" s="101"/>
      <c r="T938" s="101"/>
      <c r="U938" s="101"/>
      <c r="V938" s="101"/>
      <c r="W938" s="101"/>
      <c r="X938" s="101"/>
      <c r="Y938" s="101"/>
      <c r="Z938" s="101"/>
      <c r="AA938" s="101"/>
      <c r="AB938" s="101"/>
      <c r="AC938" s="101"/>
      <c r="AD938" s="101"/>
      <c r="AE938" s="101"/>
      <c r="AF938" s="101"/>
      <c r="AG938" s="101"/>
      <c r="AH938" s="101"/>
      <c r="AI938" s="101"/>
      <c r="AJ938" s="101"/>
      <c r="AK938" s="101"/>
      <c r="AL938" s="101"/>
      <c r="AM938" s="101"/>
      <c r="AN938" s="101"/>
      <c r="AO938" s="101"/>
    </row>
    <row r="939" spans="1:41">
      <c r="A939" s="115"/>
      <c r="B939" s="116"/>
      <c r="C939" s="117"/>
      <c r="D939" s="116"/>
      <c r="E939" s="101"/>
      <c r="F939" s="101"/>
      <c r="G939" s="101"/>
      <c r="H939" s="101"/>
      <c r="I939" s="101"/>
      <c r="J939" s="101"/>
      <c r="K939" s="101"/>
      <c r="L939" s="101"/>
      <c r="M939" s="101"/>
      <c r="N939" s="101"/>
      <c r="O939" s="101"/>
      <c r="P939" s="101"/>
      <c r="Q939" s="101"/>
      <c r="R939" s="101"/>
      <c r="S939" s="101"/>
      <c r="T939" s="101"/>
      <c r="U939" s="101"/>
      <c r="V939" s="101"/>
      <c r="W939" s="101"/>
      <c r="X939" s="101"/>
      <c r="Y939" s="101"/>
      <c r="Z939" s="101"/>
      <c r="AA939" s="101"/>
      <c r="AB939" s="101"/>
      <c r="AC939" s="101"/>
      <c r="AD939" s="101"/>
      <c r="AE939" s="101"/>
      <c r="AF939" s="101"/>
      <c r="AG939" s="101"/>
      <c r="AH939" s="101"/>
      <c r="AI939" s="101"/>
      <c r="AJ939" s="101"/>
      <c r="AK939" s="101"/>
      <c r="AL939" s="101"/>
      <c r="AM939" s="101"/>
      <c r="AN939" s="101"/>
      <c r="AO939" s="101"/>
    </row>
    <row r="940" spans="1:41">
      <c r="A940" s="115"/>
      <c r="B940" s="116"/>
      <c r="C940" s="117"/>
      <c r="D940" s="116"/>
      <c r="E940" s="101"/>
      <c r="F940" s="101"/>
      <c r="G940" s="101"/>
      <c r="H940" s="101"/>
      <c r="I940" s="101"/>
      <c r="J940" s="101"/>
      <c r="K940" s="101"/>
      <c r="L940" s="101"/>
      <c r="M940" s="101"/>
      <c r="N940" s="101"/>
      <c r="O940" s="101"/>
      <c r="P940" s="101"/>
      <c r="Q940" s="101"/>
      <c r="R940" s="101"/>
      <c r="S940" s="101"/>
      <c r="T940" s="101"/>
      <c r="U940" s="101"/>
      <c r="V940" s="101"/>
      <c r="W940" s="101"/>
      <c r="X940" s="101"/>
      <c r="Y940" s="101"/>
      <c r="Z940" s="101"/>
      <c r="AA940" s="101"/>
      <c r="AB940" s="101"/>
      <c r="AC940" s="101"/>
      <c r="AD940" s="101"/>
      <c r="AE940" s="101"/>
      <c r="AF940" s="101"/>
      <c r="AG940" s="101"/>
      <c r="AH940" s="101"/>
      <c r="AI940" s="101"/>
      <c r="AJ940" s="101"/>
      <c r="AK940" s="101"/>
      <c r="AL940" s="101"/>
      <c r="AM940" s="101"/>
      <c r="AN940" s="101"/>
      <c r="AO940" s="101"/>
    </row>
    <row r="941" spans="1:41">
      <c r="A941" s="115"/>
      <c r="B941" s="116"/>
      <c r="C941" s="117"/>
      <c r="D941" s="116"/>
      <c r="E941" s="101"/>
      <c r="F941" s="101"/>
      <c r="G941" s="101"/>
      <c r="H941" s="101"/>
      <c r="I941" s="101"/>
      <c r="J941" s="101"/>
      <c r="K941" s="101"/>
      <c r="L941" s="101"/>
      <c r="M941" s="101"/>
      <c r="N941" s="101"/>
      <c r="O941" s="101"/>
      <c r="P941" s="101"/>
      <c r="Q941" s="101"/>
      <c r="R941" s="101"/>
      <c r="S941" s="101"/>
      <c r="T941" s="101"/>
      <c r="U941" s="101"/>
      <c r="V941" s="101"/>
      <c r="W941" s="101"/>
      <c r="X941" s="101"/>
      <c r="Y941" s="101"/>
      <c r="Z941" s="101"/>
      <c r="AA941" s="101"/>
      <c r="AB941" s="101"/>
      <c r="AC941" s="101"/>
      <c r="AD941" s="101"/>
      <c r="AE941" s="101"/>
      <c r="AF941" s="101"/>
      <c r="AG941" s="101"/>
      <c r="AH941" s="101"/>
      <c r="AI941" s="101"/>
      <c r="AJ941" s="101"/>
      <c r="AK941" s="101"/>
      <c r="AL941" s="101"/>
      <c r="AM941" s="101"/>
      <c r="AN941" s="101"/>
      <c r="AO941" s="101"/>
    </row>
    <row r="942" spans="1:41">
      <c r="A942" s="115"/>
      <c r="B942" s="116"/>
      <c r="C942" s="117"/>
      <c r="D942" s="116"/>
      <c r="E942" s="101"/>
      <c r="F942" s="101"/>
      <c r="G942" s="101"/>
      <c r="H942" s="101"/>
      <c r="I942" s="101"/>
      <c r="J942" s="101"/>
      <c r="K942" s="101"/>
      <c r="L942" s="101"/>
      <c r="M942" s="101"/>
      <c r="N942" s="101"/>
      <c r="O942" s="101"/>
      <c r="P942" s="101"/>
      <c r="Q942" s="101"/>
      <c r="R942" s="101"/>
      <c r="S942" s="101"/>
      <c r="T942" s="101"/>
      <c r="U942" s="101"/>
      <c r="V942" s="101"/>
      <c r="W942" s="101"/>
      <c r="X942" s="101"/>
      <c r="Y942" s="101"/>
      <c r="Z942" s="101"/>
      <c r="AA942" s="101"/>
      <c r="AB942" s="101"/>
      <c r="AC942" s="101"/>
      <c r="AD942" s="101"/>
      <c r="AE942" s="101"/>
      <c r="AF942" s="101"/>
      <c r="AG942" s="101"/>
      <c r="AH942" s="101"/>
      <c r="AI942" s="101"/>
      <c r="AJ942" s="101"/>
      <c r="AK942" s="101"/>
      <c r="AL942" s="101"/>
      <c r="AM942" s="101"/>
      <c r="AN942" s="101"/>
      <c r="AO942" s="101"/>
    </row>
    <row r="943" spans="1:41">
      <c r="A943" s="115"/>
      <c r="B943" s="116"/>
      <c r="C943" s="117"/>
      <c r="D943" s="116"/>
      <c r="E943" s="101"/>
      <c r="F943" s="101"/>
      <c r="G943" s="101"/>
      <c r="H943" s="101"/>
      <c r="I943" s="101"/>
      <c r="J943" s="101"/>
      <c r="K943" s="101"/>
      <c r="L943" s="101"/>
      <c r="M943" s="101"/>
      <c r="N943" s="101"/>
      <c r="O943" s="101"/>
      <c r="P943" s="101"/>
      <c r="Q943" s="101"/>
      <c r="R943" s="101"/>
      <c r="S943" s="101"/>
      <c r="T943" s="101"/>
      <c r="U943" s="101"/>
      <c r="V943" s="101"/>
      <c r="W943" s="101"/>
      <c r="X943" s="101"/>
      <c r="Y943" s="101"/>
      <c r="Z943" s="101"/>
      <c r="AA943" s="101"/>
      <c r="AB943" s="101"/>
      <c r="AC943" s="101"/>
      <c r="AD943" s="101"/>
      <c r="AE943" s="101"/>
      <c r="AF943" s="101"/>
      <c r="AG943" s="101"/>
      <c r="AH943" s="101"/>
      <c r="AI943" s="101"/>
      <c r="AJ943" s="101"/>
      <c r="AK943" s="101"/>
      <c r="AL943" s="101"/>
      <c r="AM943" s="101"/>
      <c r="AN943" s="101"/>
      <c r="AO943" s="101"/>
    </row>
    <row r="944" spans="1:41">
      <c r="A944" s="115"/>
      <c r="B944" s="116"/>
      <c r="C944" s="117"/>
      <c r="D944" s="116"/>
      <c r="E944" s="101"/>
      <c r="F944" s="101"/>
      <c r="G944" s="101"/>
      <c r="H944" s="101"/>
      <c r="I944" s="101"/>
      <c r="J944" s="101"/>
      <c r="K944" s="101"/>
      <c r="L944" s="101"/>
      <c r="M944" s="101"/>
      <c r="N944" s="101"/>
      <c r="O944" s="101"/>
      <c r="P944" s="101"/>
      <c r="Q944" s="101"/>
      <c r="R944" s="101"/>
      <c r="S944" s="101"/>
      <c r="T944" s="101"/>
      <c r="U944" s="101"/>
      <c r="V944" s="101"/>
      <c r="W944" s="101"/>
      <c r="X944" s="101"/>
      <c r="Y944" s="101"/>
      <c r="Z944" s="101"/>
      <c r="AA944" s="101"/>
      <c r="AB944" s="101"/>
      <c r="AC944" s="101"/>
      <c r="AD944" s="101"/>
      <c r="AE944" s="101"/>
      <c r="AF944" s="101"/>
      <c r="AG944" s="101"/>
      <c r="AH944" s="101"/>
      <c r="AI944" s="101"/>
      <c r="AJ944" s="101"/>
      <c r="AK944" s="101"/>
      <c r="AL944" s="101"/>
      <c r="AM944" s="101"/>
      <c r="AN944" s="101"/>
      <c r="AO944" s="101"/>
    </row>
    <row r="945" spans="1:41">
      <c r="A945" s="115"/>
      <c r="B945" s="116"/>
      <c r="C945" s="117"/>
      <c r="D945" s="116"/>
      <c r="E945" s="101"/>
      <c r="F945" s="101"/>
      <c r="G945" s="101"/>
      <c r="H945" s="101"/>
      <c r="I945" s="101"/>
      <c r="J945" s="101"/>
      <c r="K945" s="101"/>
      <c r="L945" s="101"/>
      <c r="M945" s="101"/>
      <c r="N945" s="101"/>
      <c r="O945" s="101"/>
      <c r="P945" s="101"/>
      <c r="Q945" s="101"/>
      <c r="R945" s="101"/>
      <c r="S945" s="101"/>
      <c r="T945" s="101"/>
      <c r="U945" s="101"/>
      <c r="V945" s="101"/>
      <c r="W945" s="101"/>
      <c r="X945" s="101"/>
      <c r="Y945" s="101"/>
      <c r="Z945" s="101"/>
      <c r="AA945" s="101"/>
      <c r="AB945" s="101"/>
      <c r="AC945" s="101"/>
      <c r="AD945" s="101"/>
      <c r="AE945" s="101"/>
      <c r="AF945" s="101"/>
      <c r="AG945" s="101"/>
      <c r="AH945" s="101"/>
      <c r="AI945" s="101"/>
      <c r="AJ945" s="101"/>
      <c r="AK945" s="101"/>
      <c r="AL945" s="101"/>
      <c r="AM945" s="101"/>
      <c r="AN945" s="101"/>
      <c r="AO945" s="101"/>
    </row>
    <row r="946" spans="1:41">
      <c r="A946" s="115"/>
      <c r="B946" s="116"/>
      <c r="C946" s="117"/>
      <c r="D946" s="116"/>
      <c r="E946" s="101"/>
      <c r="F946" s="101"/>
      <c r="G946" s="101"/>
      <c r="H946" s="101"/>
      <c r="I946" s="101"/>
      <c r="J946" s="101"/>
      <c r="K946" s="101"/>
      <c r="L946" s="101"/>
      <c r="M946" s="101"/>
      <c r="N946" s="101"/>
      <c r="O946" s="101"/>
      <c r="P946" s="101"/>
      <c r="Q946" s="101"/>
      <c r="R946" s="101"/>
      <c r="S946" s="101"/>
      <c r="T946" s="101"/>
      <c r="U946" s="101"/>
      <c r="V946" s="101"/>
      <c r="W946" s="101"/>
      <c r="X946" s="101"/>
      <c r="Y946" s="101"/>
      <c r="Z946" s="101"/>
      <c r="AA946" s="101"/>
      <c r="AB946" s="101"/>
      <c r="AC946" s="101"/>
      <c r="AD946" s="101"/>
      <c r="AE946" s="101"/>
      <c r="AF946" s="101"/>
      <c r="AG946" s="101"/>
      <c r="AH946" s="101"/>
      <c r="AI946" s="101"/>
      <c r="AJ946" s="101"/>
      <c r="AK946" s="101"/>
      <c r="AL946" s="101"/>
      <c r="AM946" s="101"/>
      <c r="AN946" s="101"/>
      <c r="AO946" s="101"/>
    </row>
    <row r="947" spans="1:41">
      <c r="A947" s="115"/>
      <c r="B947" s="116"/>
      <c r="C947" s="117"/>
      <c r="D947" s="116"/>
      <c r="E947" s="101"/>
      <c r="F947" s="101"/>
      <c r="G947" s="101"/>
      <c r="H947" s="101"/>
      <c r="I947" s="101"/>
      <c r="J947" s="101"/>
      <c r="K947" s="101"/>
      <c r="L947" s="101"/>
      <c r="M947" s="101"/>
      <c r="N947" s="101"/>
      <c r="O947" s="101"/>
      <c r="P947" s="101"/>
      <c r="Q947" s="101"/>
      <c r="R947" s="101"/>
      <c r="S947" s="101"/>
      <c r="T947" s="101"/>
      <c r="U947" s="101"/>
      <c r="V947" s="101"/>
      <c r="W947" s="101"/>
      <c r="X947" s="101"/>
      <c r="Y947" s="101"/>
      <c r="Z947" s="101"/>
      <c r="AA947" s="101"/>
      <c r="AB947" s="101"/>
      <c r="AC947" s="101"/>
      <c r="AD947" s="101"/>
      <c r="AE947" s="101"/>
      <c r="AF947" s="101"/>
      <c r="AG947" s="101"/>
      <c r="AH947" s="101"/>
      <c r="AI947" s="101"/>
      <c r="AJ947" s="101"/>
      <c r="AK947" s="101"/>
      <c r="AL947" s="101"/>
      <c r="AM947" s="101"/>
      <c r="AN947" s="101"/>
      <c r="AO947" s="101"/>
    </row>
    <row r="948" spans="1:41">
      <c r="A948" s="115"/>
      <c r="B948" s="116"/>
      <c r="C948" s="117"/>
      <c r="D948" s="116"/>
      <c r="E948" s="101"/>
      <c r="F948" s="101"/>
      <c r="G948" s="101"/>
      <c r="H948" s="101"/>
      <c r="I948" s="101"/>
      <c r="J948" s="101"/>
      <c r="K948" s="101"/>
      <c r="L948" s="101"/>
      <c r="M948" s="101"/>
      <c r="N948" s="101"/>
      <c r="O948" s="101"/>
      <c r="P948" s="101"/>
      <c r="Q948" s="101"/>
      <c r="R948" s="101"/>
      <c r="S948" s="101"/>
      <c r="T948" s="101"/>
      <c r="U948" s="101"/>
      <c r="V948" s="101"/>
      <c r="W948" s="101"/>
      <c r="X948" s="101"/>
      <c r="Y948" s="101"/>
      <c r="Z948" s="101"/>
      <c r="AA948" s="101"/>
      <c r="AB948" s="101"/>
      <c r="AC948" s="101"/>
      <c r="AD948" s="101"/>
      <c r="AE948" s="101"/>
      <c r="AF948" s="101"/>
      <c r="AG948" s="101"/>
      <c r="AH948" s="101"/>
      <c r="AI948" s="101"/>
      <c r="AJ948" s="101"/>
      <c r="AK948" s="101"/>
      <c r="AL948" s="101"/>
      <c r="AM948" s="101"/>
      <c r="AN948" s="101"/>
      <c r="AO948" s="101"/>
    </row>
    <row r="949" spans="1:41">
      <c r="A949" s="115"/>
      <c r="B949" s="116"/>
      <c r="C949" s="117"/>
      <c r="D949" s="116"/>
      <c r="E949" s="101"/>
      <c r="F949" s="101"/>
      <c r="G949" s="101"/>
      <c r="H949" s="101"/>
      <c r="I949" s="101"/>
      <c r="J949" s="101"/>
      <c r="K949" s="101"/>
      <c r="L949" s="101"/>
      <c r="M949" s="101"/>
      <c r="N949" s="101"/>
      <c r="O949" s="101"/>
      <c r="P949" s="101"/>
      <c r="Q949" s="101"/>
      <c r="R949" s="101"/>
      <c r="S949" s="101"/>
      <c r="T949" s="101"/>
      <c r="U949" s="101"/>
      <c r="V949" s="101"/>
      <c r="W949" s="101"/>
      <c r="X949" s="101"/>
      <c r="Y949" s="101"/>
      <c r="Z949" s="101"/>
      <c r="AA949" s="101"/>
      <c r="AB949" s="101"/>
      <c r="AC949" s="101"/>
      <c r="AD949" s="101"/>
      <c r="AE949" s="101"/>
      <c r="AF949" s="101"/>
      <c r="AG949" s="101"/>
      <c r="AH949" s="101"/>
      <c r="AI949" s="101"/>
      <c r="AJ949" s="101"/>
      <c r="AK949" s="101"/>
      <c r="AL949" s="101"/>
      <c r="AM949" s="101"/>
      <c r="AN949" s="101"/>
      <c r="AO949" s="101"/>
    </row>
    <row r="950" spans="1:41">
      <c r="A950" s="115"/>
      <c r="B950" s="116"/>
      <c r="C950" s="117"/>
      <c r="D950" s="116"/>
      <c r="E950" s="101"/>
      <c r="F950" s="101"/>
      <c r="G950" s="101"/>
      <c r="H950" s="101"/>
      <c r="I950" s="101"/>
      <c r="J950" s="101"/>
      <c r="K950" s="101"/>
      <c r="L950" s="101"/>
      <c r="M950" s="101"/>
      <c r="N950" s="101"/>
      <c r="O950" s="101"/>
      <c r="P950" s="101"/>
      <c r="Q950" s="101"/>
      <c r="R950" s="101"/>
      <c r="S950" s="101"/>
      <c r="T950" s="101"/>
      <c r="U950" s="101"/>
      <c r="V950" s="101"/>
      <c r="W950" s="101"/>
      <c r="X950" s="101"/>
      <c r="Y950" s="101"/>
      <c r="Z950" s="101"/>
      <c r="AA950" s="101"/>
      <c r="AB950" s="101"/>
      <c r="AC950" s="101"/>
      <c r="AD950" s="101"/>
      <c r="AE950" s="101"/>
      <c r="AF950" s="101"/>
      <c r="AG950" s="101"/>
      <c r="AH950" s="101"/>
      <c r="AI950" s="101"/>
      <c r="AJ950" s="101"/>
      <c r="AK950" s="101"/>
      <c r="AL950" s="101"/>
      <c r="AM950" s="101"/>
      <c r="AN950" s="101"/>
      <c r="AO950" s="101"/>
    </row>
    <row r="951" spans="1:41">
      <c r="A951" s="115"/>
      <c r="B951" s="116"/>
      <c r="C951" s="117"/>
      <c r="D951" s="116"/>
      <c r="E951" s="101"/>
      <c r="F951" s="101"/>
      <c r="G951" s="101"/>
      <c r="H951" s="101"/>
      <c r="I951" s="101"/>
      <c r="J951" s="101"/>
      <c r="K951" s="101"/>
      <c r="L951" s="101"/>
      <c r="M951" s="101"/>
      <c r="N951" s="101"/>
      <c r="O951" s="101"/>
      <c r="P951" s="101"/>
      <c r="Q951" s="101"/>
      <c r="R951" s="101"/>
      <c r="S951" s="101"/>
      <c r="T951" s="101"/>
      <c r="U951" s="101"/>
      <c r="V951" s="101"/>
      <c r="W951" s="101"/>
      <c r="X951" s="101"/>
      <c r="Y951" s="101"/>
      <c r="Z951" s="101"/>
      <c r="AA951" s="101"/>
      <c r="AB951" s="101"/>
      <c r="AC951" s="101"/>
      <c r="AD951" s="101"/>
      <c r="AE951" s="101"/>
      <c r="AF951" s="101"/>
      <c r="AG951" s="101"/>
      <c r="AH951" s="101"/>
      <c r="AI951" s="101"/>
      <c r="AJ951" s="101"/>
      <c r="AK951" s="101"/>
      <c r="AL951" s="101"/>
      <c r="AM951" s="101"/>
      <c r="AN951" s="101"/>
      <c r="AO951" s="101"/>
    </row>
    <row r="952" spans="1:41">
      <c r="A952" s="115"/>
      <c r="B952" s="116"/>
      <c r="C952" s="117"/>
      <c r="D952" s="116"/>
      <c r="E952" s="101"/>
      <c r="F952" s="101"/>
      <c r="G952" s="101"/>
      <c r="H952" s="101"/>
      <c r="I952" s="101"/>
      <c r="J952" s="101"/>
      <c r="K952" s="101"/>
      <c r="L952" s="101"/>
      <c r="M952" s="101"/>
      <c r="N952" s="101"/>
      <c r="O952" s="101"/>
      <c r="P952" s="101"/>
      <c r="Q952" s="101"/>
      <c r="R952" s="101"/>
      <c r="S952" s="101"/>
      <c r="T952" s="101"/>
      <c r="U952" s="101"/>
      <c r="V952" s="101"/>
      <c r="W952" s="101"/>
      <c r="X952" s="101"/>
      <c r="Y952" s="101"/>
      <c r="Z952" s="101"/>
      <c r="AA952" s="101"/>
      <c r="AB952" s="101"/>
      <c r="AC952" s="101"/>
      <c r="AD952" s="101"/>
      <c r="AE952" s="101"/>
      <c r="AF952" s="101"/>
      <c r="AG952" s="101"/>
      <c r="AH952" s="101"/>
      <c r="AI952" s="101"/>
      <c r="AJ952" s="101"/>
      <c r="AK952" s="101"/>
      <c r="AL952" s="101"/>
      <c r="AM952" s="101"/>
      <c r="AN952" s="101"/>
      <c r="AO952" s="101"/>
    </row>
    <row r="953" spans="1:41">
      <c r="A953" s="115"/>
      <c r="B953" s="116"/>
      <c r="C953" s="117"/>
      <c r="D953" s="116"/>
      <c r="E953" s="101"/>
      <c r="F953" s="101"/>
      <c r="G953" s="101"/>
      <c r="H953" s="101"/>
      <c r="I953" s="101"/>
      <c r="J953" s="101"/>
      <c r="K953" s="101"/>
      <c r="L953" s="101"/>
      <c r="M953" s="101"/>
      <c r="N953" s="101"/>
      <c r="O953" s="101"/>
      <c r="P953" s="101"/>
      <c r="Q953" s="101"/>
      <c r="R953" s="101"/>
      <c r="S953" s="101"/>
      <c r="T953" s="101"/>
      <c r="U953" s="101"/>
      <c r="V953" s="101"/>
      <c r="W953" s="101"/>
      <c r="X953" s="101"/>
      <c r="Y953" s="101"/>
      <c r="Z953" s="101"/>
      <c r="AA953" s="101"/>
      <c r="AB953" s="101"/>
      <c r="AC953" s="101"/>
      <c r="AD953" s="101"/>
      <c r="AE953" s="101"/>
      <c r="AF953" s="101"/>
      <c r="AG953" s="101"/>
      <c r="AH953" s="101"/>
      <c r="AI953" s="101"/>
      <c r="AJ953" s="101"/>
      <c r="AK953" s="101"/>
      <c r="AL953" s="101"/>
      <c r="AM953" s="101"/>
      <c r="AN953" s="101"/>
      <c r="AO953" s="101"/>
    </row>
    <row r="954" spans="1:41">
      <c r="A954" s="115"/>
      <c r="B954" s="116"/>
      <c r="C954" s="117"/>
      <c r="D954" s="116"/>
      <c r="E954" s="101"/>
      <c r="F954" s="101"/>
      <c r="G954" s="101"/>
      <c r="H954" s="101"/>
      <c r="I954" s="101"/>
      <c r="J954" s="101"/>
      <c r="K954" s="101"/>
      <c r="L954" s="101"/>
      <c r="M954" s="101"/>
      <c r="N954" s="101"/>
      <c r="O954" s="101"/>
      <c r="P954" s="101"/>
      <c r="Q954" s="101"/>
      <c r="R954" s="101"/>
      <c r="S954" s="101"/>
      <c r="T954" s="101"/>
      <c r="U954" s="101"/>
      <c r="V954" s="101"/>
      <c r="W954" s="101"/>
      <c r="X954" s="101"/>
      <c r="Y954" s="101"/>
      <c r="Z954" s="101"/>
      <c r="AA954" s="101"/>
      <c r="AB954" s="101"/>
      <c r="AC954" s="101"/>
      <c r="AD954" s="101"/>
      <c r="AE954" s="101"/>
      <c r="AF954" s="101"/>
      <c r="AG954" s="101"/>
      <c r="AH954" s="101"/>
      <c r="AI954" s="101"/>
      <c r="AJ954" s="101"/>
      <c r="AK954" s="101"/>
      <c r="AL954" s="101"/>
      <c r="AM954" s="101"/>
      <c r="AN954" s="101"/>
      <c r="AO954" s="101"/>
    </row>
    <row r="955" spans="1:41">
      <c r="A955" s="115"/>
      <c r="B955" s="116"/>
      <c r="C955" s="117"/>
      <c r="D955" s="116"/>
      <c r="E955" s="101"/>
      <c r="F955" s="101"/>
      <c r="G955" s="101"/>
      <c r="H955" s="101"/>
      <c r="I955" s="101"/>
      <c r="J955" s="101"/>
      <c r="K955" s="101"/>
      <c r="L955" s="101"/>
      <c r="M955" s="101"/>
      <c r="N955" s="101"/>
      <c r="O955" s="101"/>
      <c r="P955" s="101"/>
      <c r="Q955" s="101"/>
      <c r="R955" s="101"/>
      <c r="S955" s="101"/>
      <c r="T955" s="101"/>
      <c r="U955" s="101"/>
      <c r="V955" s="101"/>
      <c r="W955" s="101"/>
      <c r="X955" s="101"/>
      <c r="Y955" s="101"/>
      <c r="Z955" s="101"/>
      <c r="AA955" s="101"/>
      <c r="AB955" s="101"/>
      <c r="AC955" s="101"/>
      <c r="AD955" s="101"/>
      <c r="AE955" s="101"/>
      <c r="AF955" s="101"/>
      <c r="AG955" s="101"/>
      <c r="AH955" s="101"/>
      <c r="AI955" s="101"/>
      <c r="AJ955" s="101"/>
      <c r="AK955" s="101"/>
      <c r="AL955" s="101"/>
      <c r="AM955" s="101"/>
      <c r="AN955" s="101"/>
      <c r="AO955" s="101"/>
    </row>
    <row r="956" spans="1:41">
      <c r="A956" s="115"/>
      <c r="B956" s="116"/>
      <c r="C956" s="117"/>
      <c r="D956" s="116"/>
      <c r="E956" s="101"/>
      <c r="F956" s="101"/>
      <c r="G956" s="101"/>
      <c r="H956" s="101"/>
      <c r="I956" s="101"/>
      <c r="J956" s="101"/>
      <c r="K956" s="101"/>
      <c r="L956" s="101"/>
      <c r="M956" s="101"/>
      <c r="N956" s="101"/>
      <c r="O956" s="101"/>
      <c r="P956" s="101"/>
      <c r="Q956" s="101"/>
      <c r="R956" s="101"/>
      <c r="S956" s="101"/>
      <c r="T956" s="101"/>
      <c r="U956" s="101"/>
      <c r="V956" s="101"/>
      <c r="W956" s="101"/>
      <c r="X956" s="101"/>
      <c r="Y956" s="101"/>
      <c r="Z956" s="101"/>
      <c r="AA956" s="101"/>
      <c r="AB956" s="101"/>
      <c r="AC956" s="101"/>
      <c r="AD956" s="101"/>
      <c r="AE956" s="101"/>
      <c r="AF956" s="101"/>
      <c r="AG956" s="101"/>
      <c r="AH956" s="101"/>
      <c r="AI956" s="101"/>
      <c r="AJ956" s="101"/>
      <c r="AK956" s="101"/>
      <c r="AL956" s="101"/>
      <c r="AM956" s="101"/>
      <c r="AN956" s="101"/>
      <c r="AO956" s="101"/>
    </row>
    <row r="957" spans="1:41">
      <c r="A957" s="115"/>
      <c r="B957" s="116"/>
      <c r="C957" s="117"/>
      <c r="D957" s="116"/>
      <c r="E957" s="101"/>
      <c r="F957" s="101"/>
      <c r="G957" s="101"/>
      <c r="H957" s="101"/>
      <c r="I957" s="101"/>
      <c r="J957" s="101"/>
      <c r="K957" s="101"/>
      <c r="L957" s="101"/>
      <c r="M957" s="101"/>
      <c r="N957" s="101"/>
      <c r="O957" s="101"/>
      <c r="P957" s="101"/>
      <c r="Q957" s="101"/>
      <c r="R957" s="101"/>
      <c r="S957" s="101"/>
      <c r="T957" s="101"/>
      <c r="U957" s="101"/>
      <c r="V957" s="101"/>
      <c r="W957" s="101"/>
      <c r="X957" s="101"/>
      <c r="Y957" s="101"/>
      <c r="Z957" s="101"/>
      <c r="AA957" s="101"/>
      <c r="AB957" s="101"/>
      <c r="AC957" s="101"/>
      <c r="AD957" s="101"/>
      <c r="AE957" s="101"/>
      <c r="AF957" s="101"/>
      <c r="AG957" s="101"/>
      <c r="AH957" s="101"/>
      <c r="AI957" s="101"/>
      <c r="AJ957" s="101"/>
      <c r="AK957" s="101"/>
      <c r="AL957" s="101"/>
      <c r="AM957" s="101"/>
      <c r="AN957" s="101"/>
      <c r="AO957" s="101"/>
    </row>
    <row r="958" spans="1:41">
      <c r="A958" s="115"/>
      <c r="B958" s="116"/>
      <c r="C958" s="117"/>
      <c r="D958" s="116"/>
      <c r="E958" s="101"/>
      <c r="F958" s="101"/>
      <c r="G958" s="101"/>
      <c r="H958" s="101"/>
      <c r="I958" s="101"/>
      <c r="J958" s="101"/>
      <c r="K958" s="101"/>
      <c r="L958" s="101"/>
      <c r="M958" s="101"/>
      <c r="N958" s="101"/>
      <c r="O958" s="101"/>
      <c r="P958" s="101"/>
      <c r="Q958" s="101"/>
      <c r="R958" s="101"/>
      <c r="S958" s="101"/>
      <c r="T958" s="101"/>
      <c r="U958" s="101"/>
      <c r="V958" s="101"/>
      <c r="W958" s="101"/>
      <c r="X958" s="101"/>
      <c r="Y958" s="101"/>
      <c r="Z958" s="101"/>
      <c r="AA958" s="101"/>
      <c r="AB958" s="101"/>
      <c r="AC958" s="101"/>
      <c r="AD958" s="101"/>
      <c r="AE958" s="101"/>
      <c r="AF958" s="101"/>
      <c r="AG958" s="101"/>
      <c r="AH958" s="101"/>
      <c r="AI958" s="101"/>
      <c r="AJ958" s="101"/>
      <c r="AK958" s="101"/>
      <c r="AL958" s="101"/>
      <c r="AM958" s="101"/>
      <c r="AN958" s="101"/>
      <c r="AO958" s="101"/>
    </row>
    <row r="959" spans="1:41">
      <c r="A959" s="115"/>
      <c r="B959" s="116"/>
      <c r="C959" s="117"/>
      <c r="D959" s="116"/>
      <c r="E959" s="101"/>
      <c r="F959" s="101"/>
      <c r="G959" s="101"/>
      <c r="H959" s="101"/>
      <c r="I959" s="101"/>
      <c r="J959" s="101"/>
      <c r="K959" s="101"/>
      <c r="L959" s="101"/>
      <c r="M959" s="101"/>
      <c r="N959" s="101"/>
      <c r="O959" s="101"/>
      <c r="P959" s="101"/>
      <c r="Q959" s="101"/>
      <c r="R959" s="101"/>
      <c r="S959" s="101"/>
      <c r="T959" s="101"/>
      <c r="U959" s="101"/>
      <c r="V959" s="101"/>
      <c r="W959" s="101"/>
      <c r="X959" s="101"/>
      <c r="Y959" s="101"/>
      <c r="Z959" s="101"/>
      <c r="AA959" s="101"/>
      <c r="AB959" s="101"/>
      <c r="AC959" s="101"/>
      <c r="AD959" s="101"/>
      <c r="AE959" s="101"/>
      <c r="AF959" s="101"/>
      <c r="AG959" s="101"/>
      <c r="AH959" s="101"/>
      <c r="AI959" s="101"/>
      <c r="AJ959" s="101"/>
      <c r="AK959" s="101"/>
      <c r="AL959" s="101"/>
      <c r="AM959" s="101"/>
      <c r="AN959" s="101"/>
      <c r="AO959" s="101"/>
    </row>
    <row r="960" spans="1:41">
      <c r="A960" s="115"/>
      <c r="B960" s="116"/>
      <c r="C960" s="117"/>
      <c r="D960" s="116"/>
      <c r="E960" s="101"/>
      <c r="F960" s="101"/>
      <c r="G960" s="101"/>
      <c r="H960" s="101"/>
      <c r="I960" s="101"/>
      <c r="J960" s="101"/>
      <c r="K960" s="101"/>
      <c r="L960" s="101"/>
      <c r="M960" s="101"/>
      <c r="N960" s="101"/>
      <c r="O960" s="101"/>
      <c r="P960" s="101"/>
      <c r="Q960" s="101"/>
      <c r="R960" s="101"/>
      <c r="S960" s="101"/>
      <c r="T960" s="101"/>
      <c r="U960" s="101"/>
      <c r="V960" s="101"/>
      <c r="W960" s="101"/>
      <c r="X960" s="101"/>
      <c r="Y960" s="101"/>
      <c r="Z960" s="101"/>
      <c r="AA960" s="101"/>
      <c r="AB960" s="101"/>
      <c r="AC960" s="101"/>
      <c r="AD960" s="101"/>
      <c r="AE960" s="101"/>
      <c r="AF960" s="101"/>
      <c r="AG960" s="101"/>
      <c r="AH960" s="101"/>
      <c r="AI960" s="101"/>
      <c r="AJ960" s="101"/>
      <c r="AK960" s="101"/>
      <c r="AL960" s="101"/>
      <c r="AM960" s="101"/>
      <c r="AN960" s="101"/>
      <c r="AO960" s="101"/>
    </row>
    <row r="961" spans="1:41">
      <c r="A961" s="115"/>
      <c r="B961" s="116"/>
      <c r="C961" s="117"/>
      <c r="D961" s="116"/>
      <c r="E961" s="101"/>
      <c r="F961" s="101"/>
      <c r="G961" s="101"/>
      <c r="H961" s="101"/>
      <c r="I961" s="101"/>
      <c r="J961" s="101"/>
      <c r="K961" s="101"/>
      <c r="L961" s="101"/>
      <c r="M961" s="101"/>
      <c r="N961" s="101"/>
      <c r="O961" s="101"/>
      <c r="P961" s="101"/>
      <c r="Q961" s="101"/>
      <c r="R961" s="101"/>
      <c r="S961" s="101"/>
      <c r="T961" s="101"/>
      <c r="U961" s="101"/>
      <c r="V961" s="101"/>
      <c r="W961" s="101"/>
      <c r="X961" s="101"/>
      <c r="Y961" s="101"/>
      <c r="Z961" s="101"/>
      <c r="AA961" s="101"/>
      <c r="AB961" s="101"/>
      <c r="AC961" s="101"/>
      <c r="AD961" s="101"/>
      <c r="AE961" s="101"/>
      <c r="AF961" s="101"/>
      <c r="AG961" s="101"/>
      <c r="AH961" s="101"/>
      <c r="AI961" s="101"/>
      <c r="AJ961" s="101"/>
      <c r="AK961" s="101"/>
      <c r="AL961" s="101"/>
      <c r="AM961" s="101"/>
      <c r="AN961" s="101"/>
      <c r="AO961" s="101"/>
    </row>
    <row r="962" spans="1:41">
      <c r="A962" s="115"/>
      <c r="B962" s="116"/>
      <c r="C962" s="117"/>
      <c r="D962" s="116"/>
      <c r="E962" s="101"/>
      <c r="F962" s="101"/>
      <c r="G962" s="101"/>
      <c r="H962" s="101"/>
      <c r="I962" s="101"/>
      <c r="J962" s="101"/>
      <c r="K962" s="101"/>
      <c r="L962" s="101"/>
      <c r="M962" s="101"/>
      <c r="N962" s="101"/>
      <c r="O962" s="101"/>
      <c r="P962" s="101"/>
      <c r="Q962" s="101"/>
      <c r="R962" s="101"/>
      <c r="S962" s="101"/>
      <c r="T962" s="101"/>
      <c r="U962" s="101"/>
      <c r="V962" s="101"/>
      <c r="W962" s="101"/>
      <c r="X962" s="101"/>
      <c r="Y962" s="101"/>
      <c r="Z962" s="101"/>
      <c r="AA962" s="101"/>
      <c r="AB962" s="101"/>
      <c r="AC962" s="101"/>
      <c r="AD962" s="101"/>
      <c r="AE962" s="101"/>
      <c r="AF962" s="101"/>
      <c r="AG962" s="101"/>
      <c r="AH962" s="101"/>
      <c r="AI962" s="101"/>
      <c r="AJ962" s="101"/>
      <c r="AK962" s="101"/>
      <c r="AL962" s="101"/>
      <c r="AM962" s="101"/>
      <c r="AN962" s="101"/>
      <c r="AO962" s="101"/>
    </row>
    <row r="963" spans="1:41">
      <c r="A963" s="115"/>
      <c r="B963" s="116"/>
      <c r="C963" s="117"/>
      <c r="D963" s="116"/>
      <c r="E963" s="101"/>
      <c r="F963" s="101"/>
      <c r="G963" s="101"/>
      <c r="H963" s="101"/>
      <c r="I963" s="101"/>
      <c r="J963" s="101"/>
      <c r="K963" s="101"/>
      <c r="L963" s="101"/>
      <c r="M963" s="101"/>
      <c r="N963" s="101"/>
      <c r="O963" s="101"/>
      <c r="P963" s="101"/>
      <c r="Q963" s="101"/>
      <c r="R963" s="101"/>
      <c r="S963" s="101"/>
      <c r="T963" s="101"/>
      <c r="U963" s="101"/>
      <c r="V963" s="101"/>
      <c r="W963" s="101"/>
      <c r="X963" s="101"/>
      <c r="Y963" s="101"/>
      <c r="Z963" s="101"/>
      <c r="AA963" s="101"/>
      <c r="AB963" s="101"/>
      <c r="AC963" s="101"/>
      <c r="AD963" s="101"/>
      <c r="AE963" s="101"/>
      <c r="AF963" s="101"/>
      <c r="AG963" s="101"/>
      <c r="AH963" s="101"/>
      <c r="AI963" s="101"/>
      <c r="AJ963" s="101"/>
      <c r="AK963" s="101"/>
      <c r="AL963" s="101"/>
      <c r="AM963" s="101"/>
      <c r="AN963" s="101"/>
      <c r="AO963" s="101"/>
    </row>
    <row r="964" spans="1:41">
      <c r="A964" s="115"/>
      <c r="B964" s="116"/>
      <c r="C964" s="117"/>
      <c r="D964" s="116"/>
      <c r="E964" s="101"/>
      <c r="F964" s="101"/>
      <c r="G964" s="101"/>
      <c r="H964" s="101"/>
      <c r="I964" s="101"/>
      <c r="J964" s="101"/>
      <c r="K964" s="101"/>
      <c r="L964" s="101"/>
      <c r="M964" s="101"/>
      <c r="N964" s="101"/>
      <c r="O964" s="101"/>
      <c r="P964" s="101"/>
      <c r="Q964" s="101"/>
      <c r="R964" s="101"/>
      <c r="S964" s="101"/>
      <c r="T964" s="101"/>
      <c r="U964" s="101"/>
      <c r="V964" s="101"/>
      <c r="W964" s="101"/>
      <c r="X964" s="101"/>
      <c r="Y964" s="101"/>
      <c r="Z964" s="101"/>
      <c r="AA964" s="101"/>
      <c r="AB964" s="101"/>
      <c r="AC964" s="101"/>
      <c r="AD964" s="101"/>
      <c r="AE964" s="101"/>
      <c r="AF964" s="101"/>
      <c r="AG964" s="101"/>
      <c r="AH964" s="101"/>
      <c r="AI964" s="101"/>
      <c r="AJ964" s="101"/>
      <c r="AK964" s="101"/>
      <c r="AL964" s="101"/>
      <c r="AM964" s="101"/>
      <c r="AN964" s="101"/>
      <c r="AO964" s="101"/>
    </row>
    <row r="965" spans="1:41">
      <c r="A965" s="115"/>
      <c r="B965" s="116"/>
      <c r="C965" s="117"/>
      <c r="D965" s="116"/>
      <c r="E965" s="101"/>
      <c r="F965" s="101"/>
      <c r="G965" s="101"/>
      <c r="H965" s="101"/>
      <c r="I965" s="101"/>
      <c r="J965" s="101"/>
      <c r="K965" s="101"/>
      <c r="L965" s="101"/>
      <c r="M965" s="101"/>
      <c r="N965" s="101"/>
      <c r="O965" s="101"/>
      <c r="P965" s="101"/>
      <c r="Q965" s="101"/>
      <c r="R965" s="101"/>
      <c r="S965" s="101"/>
      <c r="T965" s="101"/>
      <c r="U965" s="101"/>
      <c r="V965" s="101"/>
      <c r="W965" s="101"/>
      <c r="X965" s="101"/>
      <c r="Y965" s="101"/>
      <c r="Z965" s="101"/>
      <c r="AA965" s="101"/>
      <c r="AB965" s="101"/>
      <c r="AC965" s="101"/>
      <c r="AD965" s="101"/>
      <c r="AE965" s="101"/>
      <c r="AF965" s="101"/>
      <c r="AG965" s="101"/>
      <c r="AH965" s="101"/>
      <c r="AI965" s="101"/>
      <c r="AJ965" s="101"/>
      <c r="AK965" s="101"/>
      <c r="AL965" s="101"/>
      <c r="AM965" s="101"/>
      <c r="AN965" s="101"/>
      <c r="AO965" s="101"/>
    </row>
    <row r="966" spans="1:41">
      <c r="A966" s="115"/>
      <c r="B966" s="116"/>
      <c r="C966" s="117"/>
      <c r="D966" s="116"/>
      <c r="E966" s="101"/>
      <c r="F966" s="101"/>
      <c r="G966" s="101"/>
      <c r="H966" s="101"/>
      <c r="I966" s="101"/>
      <c r="J966" s="101"/>
      <c r="K966" s="101"/>
      <c r="L966" s="101"/>
      <c r="M966" s="101"/>
      <c r="N966" s="101"/>
      <c r="O966" s="101"/>
      <c r="P966" s="101"/>
      <c r="Q966" s="101"/>
      <c r="R966" s="101"/>
      <c r="S966" s="101"/>
      <c r="T966" s="101"/>
      <c r="U966" s="101"/>
      <c r="V966" s="101"/>
      <c r="W966" s="101"/>
      <c r="X966" s="101"/>
      <c r="Y966" s="101"/>
      <c r="Z966" s="101"/>
      <c r="AA966" s="101"/>
      <c r="AB966" s="101"/>
      <c r="AC966" s="101"/>
      <c r="AD966" s="101"/>
      <c r="AE966" s="101"/>
      <c r="AF966" s="101"/>
      <c r="AG966" s="101"/>
      <c r="AH966" s="101"/>
      <c r="AI966" s="101"/>
      <c r="AJ966" s="101"/>
      <c r="AK966" s="101"/>
      <c r="AL966" s="101"/>
      <c r="AM966" s="101"/>
      <c r="AN966" s="101"/>
      <c r="AO966" s="101"/>
    </row>
    <row r="967" spans="1:41">
      <c r="A967" s="115"/>
      <c r="B967" s="116"/>
      <c r="C967" s="117"/>
      <c r="D967" s="116"/>
      <c r="E967" s="101"/>
      <c r="F967" s="101"/>
      <c r="G967" s="101"/>
      <c r="H967" s="101"/>
      <c r="I967" s="101"/>
      <c r="J967" s="101"/>
      <c r="K967" s="101"/>
      <c r="L967" s="101"/>
      <c r="M967" s="101"/>
      <c r="N967" s="101"/>
      <c r="O967" s="101"/>
      <c r="P967" s="101"/>
      <c r="Q967" s="101"/>
      <c r="R967" s="101"/>
      <c r="S967" s="101"/>
      <c r="T967" s="101"/>
      <c r="U967" s="101"/>
      <c r="V967" s="101"/>
      <c r="W967" s="101"/>
      <c r="X967" s="101"/>
      <c r="Y967" s="101"/>
      <c r="Z967" s="101"/>
      <c r="AA967" s="101"/>
      <c r="AB967" s="101"/>
      <c r="AC967" s="101"/>
      <c r="AD967" s="101"/>
      <c r="AE967" s="101"/>
      <c r="AF967" s="101"/>
      <c r="AG967" s="101"/>
      <c r="AH967" s="101"/>
      <c r="AI967" s="101"/>
      <c r="AJ967" s="101"/>
      <c r="AK967" s="101"/>
      <c r="AL967" s="101"/>
      <c r="AM967" s="101"/>
      <c r="AN967" s="101"/>
      <c r="AO967" s="101"/>
    </row>
    <row r="968" spans="1:41">
      <c r="A968" s="115"/>
      <c r="B968" s="116"/>
      <c r="C968" s="117"/>
      <c r="D968" s="116"/>
      <c r="E968" s="101"/>
      <c r="F968" s="101"/>
      <c r="G968" s="101"/>
      <c r="H968" s="101"/>
      <c r="I968" s="101"/>
      <c r="J968" s="101"/>
      <c r="K968" s="101"/>
      <c r="L968" s="101"/>
      <c r="M968" s="101"/>
      <c r="N968" s="101"/>
      <c r="O968" s="101"/>
      <c r="P968" s="101"/>
      <c r="Q968" s="101"/>
      <c r="R968" s="101"/>
      <c r="S968" s="101"/>
      <c r="T968" s="101"/>
      <c r="U968" s="101"/>
      <c r="V968" s="101"/>
      <c r="W968" s="101"/>
      <c r="X968" s="101"/>
      <c r="Y968" s="101"/>
      <c r="Z968" s="101"/>
      <c r="AA968" s="101"/>
      <c r="AB968" s="101"/>
      <c r="AC968" s="101"/>
      <c r="AD968" s="101"/>
      <c r="AE968" s="101"/>
      <c r="AF968" s="101"/>
      <c r="AG968" s="101"/>
      <c r="AH968" s="101"/>
      <c r="AI968" s="101"/>
      <c r="AJ968" s="101"/>
      <c r="AK968" s="101"/>
      <c r="AL968" s="101"/>
      <c r="AM968" s="101"/>
      <c r="AN968" s="101"/>
      <c r="AO968" s="101"/>
    </row>
    <row r="969" spans="1:41">
      <c r="A969" s="115"/>
      <c r="B969" s="116"/>
      <c r="C969" s="117"/>
      <c r="D969" s="116"/>
      <c r="E969" s="101"/>
      <c r="F969" s="101"/>
      <c r="G969" s="101"/>
      <c r="H969" s="101"/>
      <c r="I969" s="101"/>
      <c r="J969" s="101"/>
      <c r="K969" s="101"/>
      <c r="L969" s="101"/>
      <c r="M969" s="101"/>
      <c r="N969" s="101"/>
      <c r="O969" s="101"/>
      <c r="P969" s="101"/>
      <c r="Q969" s="101"/>
      <c r="R969" s="101"/>
      <c r="S969" s="101"/>
      <c r="T969" s="101"/>
      <c r="U969" s="101"/>
      <c r="V969" s="101"/>
      <c r="W969" s="101"/>
      <c r="X969" s="101"/>
      <c r="Y969" s="101"/>
      <c r="Z969" s="101"/>
      <c r="AA969" s="101"/>
      <c r="AB969" s="101"/>
      <c r="AC969" s="101"/>
      <c r="AD969" s="101"/>
      <c r="AE969" s="101"/>
      <c r="AF969" s="101"/>
      <c r="AG969" s="101"/>
      <c r="AH969" s="101"/>
      <c r="AI969" s="101"/>
      <c r="AJ969" s="101"/>
      <c r="AK969" s="101"/>
      <c r="AL969" s="101"/>
      <c r="AM969" s="101"/>
      <c r="AN969" s="101"/>
      <c r="AO969" s="101"/>
    </row>
    <row r="970" spans="1:41">
      <c r="A970" s="115"/>
      <c r="B970" s="116"/>
      <c r="C970" s="117"/>
      <c r="D970" s="116"/>
      <c r="E970" s="101"/>
      <c r="F970" s="101"/>
      <c r="G970" s="101"/>
      <c r="H970" s="101"/>
      <c r="I970" s="101"/>
      <c r="J970" s="101"/>
      <c r="K970" s="101"/>
      <c r="L970" s="101"/>
      <c r="M970" s="101"/>
      <c r="N970" s="101"/>
      <c r="O970" s="101"/>
      <c r="P970" s="101"/>
      <c r="Q970" s="101"/>
      <c r="R970" s="101"/>
      <c r="S970" s="101"/>
      <c r="T970" s="101"/>
      <c r="U970" s="101"/>
      <c r="V970" s="101"/>
      <c r="W970" s="101"/>
      <c r="X970" s="101"/>
      <c r="Y970" s="101"/>
      <c r="Z970" s="101"/>
      <c r="AA970" s="101"/>
      <c r="AB970" s="101"/>
      <c r="AC970" s="101"/>
      <c r="AD970" s="101"/>
      <c r="AE970" s="101"/>
      <c r="AF970" s="101"/>
      <c r="AG970" s="101"/>
      <c r="AH970" s="101"/>
      <c r="AI970" s="101"/>
      <c r="AJ970" s="101"/>
      <c r="AK970" s="101"/>
      <c r="AL970" s="101"/>
      <c r="AM970" s="101"/>
      <c r="AN970" s="101"/>
      <c r="AO970" s="101"/>
    </row>
    <row r="971" spans="1:41">
      <c r="A971" s="115"/>
      <c r="B971" s="116"/>
      <c r="C971" s="117"/>
      <c r="D971" s="116"/>
      <c r="E971" s="101"/>
      <c r="F971" s="101"/>
      <c r="G971" s="101"/>
      <c r="H971" s="101"/>
      <c r="I971" s="101"/>
      <c r="J971" s="101"/>
      <c r="K971" s="101"/>
      <c r="L971" s="101"/>
      <c r="M971" s="101"/>
      <c r="N971" s="101"/>
      <c r="O971" s="101"/>
      <c r="P971" s="101"/>
      <c r="Q971" s="101"/>
      <c r="R971" s="101"/>
      <c r="S971" s="101"/>
      <c r="T971" s="101"/>
      <c r="U971" s="101"/>
      <c r="V971" s="101"/>
      <c r="W971" s="101"/>
      <c r="X971" s="101"/>
      <c r="Y971" s="101"/>
      <c r="Z971" s="101"/>
      <c r="AA971" s="101"/>
      <c r="AB971" s="101"/>
      <c r="AC971" s="101"/>
      <c r="AD971" s="101"/>
      <c r="AE971" s="101"/>
      <c r="AF971" s="101"/>
      <c r="AG971" s="101"/>
      <c r="AH971" s="101"/>
      <c r="AI971" s="101"/>
      <c r="AJ971" s="101"/>
      <c r="AK971" s="101"/>
      <c r="AL971" s="101"/>
      <c r="AM971" s="101"/>
      <c r="AN971" s="101"/>
      <c r="AO971" s="101"/>
    </row>
    <row r="972" spans="1:41">
      <c r="A972" s="115"/>
      <c r="B972" s="116"/>
      <c r="C972" s="117"/>
      <c r="D972" s="116"/>
      <c r="E972" s="101"/>
      <c r="F972" s="101"/>
      <c r="G972" s="101"/>
      <c r="H972" s="101"/>
      <c r="I972" s="101"/>
      <c r="J972" s="101"/>
      <c r="K972" s="101"/>
      <c r="L972" s="101"/>
      <c r="M972" s="101"/>
      <c r="N972" s="101"/>
      <c r="O972" s="101"/>
      <c r="P972" s="101"/>
      <c r="Q972" s="101"/>
      <c r="R972" s="101"/>
      <c r="S972" s="101"/>
      <c r="T972" s="101"/>
      <c r="U972" s="101"/>
      <c r="V972" s="101"/>
      <c r="W972" s="101"/>
      <c r="X972" s="101"/>
      <c r="Y972" s="101"/>
      <c r="Z972" s="101"/>
      <c r="AA972" s="101"/>
      <c r="AB972" s="101"/>
      <c r="AC972" s="101"/>
      <c r="AD972" s="101"/>
      <c r="AE972" s="101"/>
      <c r="AF972" s="101"/>
      <c r="AG972" s="101"/>
      <c r="AH972" s="101"/>
      <c r="AI972" s="101"/>
      <c r="AJ972" s="101"/>
      <c r="AK972" s="101"/>
      <c r="AL972" s="101"/>
      <c r="AM972" s="101"/>
      <c r="AN972" s="101"/>
      <c r="AO972" s="101"/>
    </row>
    <row r="973" spans="1:41">
      <c r="A973" s="115"/>
      <c r="B973" s="116"/>
      <c r="C973" s="117"/>
      <c r="D973" s="116"/>
      <c r="E973" s="101"/>
      <c r="F973" s="101"/>
      <c r="G973" s="101"/>
      <c r="H973" s="101"/>
      <c r="I973" s="101"/>
      <c r="J973" s="101"/>
      <c r="K973" s="101"/>
      <c r="L973" s="101"/>
      <c r="M973" s="101"/>
      <c r="N973" s="101"/>
      <c r="O973" s="101"/>
      <c r="P973" s="101"/>
      <c r="Q973" s="101"/>
      <c r="R973" s="101"/>
      <c r="S973" s="101"/>
      <c r="T973" s="101"/>
      <c r="U973" s="101"/>
      <c r="V973" s="101"/>
      <c r="W973" s="101"/>
      <c r="X973" s="101"/>
      <c r="Y973" s="101"/>
      <c r="Z973" s="101"/>
      <c r="AA973" s="101"/>
      <c r="AB973" s="101"/>
      <c r="AC973" s="101"/>
      <c r="AD973" s="101"/>
      <c r="AE973" s="101"/>
      <c r="AF973" s="101"/>
      <c r="AG973" s="101"/>
      <c r="AH973" s="101"/>
      <c r="AI973" s="101"/>
      <c r="AJ973" s="101"/>
      <c r="AK973" s="101"/>
      <c r="AL973" s="101"/>
      <c r="AM973" s="101"/>
      <c r="AN973" s="101"/>
      <c r="AO973" s="101"/>
    </row>
    <row r="974" spans="1:41">
      <c r="A974" s="115"/>
      <c r="B974" s="116"/>
      <c r="C974" s="117"/>
      <c r="D974" s="116"/>
      <c r="E974" s="101"/>
      <c r="F974" s="101"/>
      <c r="G974" s="101"/>
      <c r="H974" s="101"/>
      <c r="I974" s="101"/>
      <c r="J974" s="101"/>
      <c r="K974" s="101"/>
      <c r="L974" s="101"/>
      <c r="M974" s="101"/>
      <c r="N974" s="101"/>
      <c r="O974" s="101"/>
      <c r="P974" s="101"/>
      <c r="Q974" s="101"/>
      <c r="R974" s="101"/>
      <c r="S974" s="101"/>
      <c r="T974" s="101"/>
      <c r="U974" s="101"/>
      <c r="V974" s="101"/>
      <c r="W974" s="101"/>
      <c r="X974" s="101"/>
      <c r="Y974" s="101"/>
      <c r="Z974" s="101"/>
      <c r="AA974" s="101"/>
      <c r="AB974" s="101"/>
      <c r="AC974" s="101"/>
      <c r="AD974" s="101"/>
      <c r="AE974" s="101"/>
      <c r="AF974" s="101"/>
      <c r="AG974" s="101"/>
      <c r="AH974" s="101"/>
      <c r="AI974" s="101"/>
      <c r="AJ974" s="101"/>
      <c r="AK974" s="101"/>
      <c r="AL974" s="101"/>
      <c r="AM974" s="101"/>
      <c r="AN974" s="101"/>
      <c r="AO974" s="101"/>
    </row>
    <row r="975" spans="1:41">
      <c r="A975" s="115"/>
      <c r="B975" s="116"/>
      <c r="C975" s="117"/>
      <c r="D975" s="116"/>
      <c r="E975" s="101"/>
      <c r="F975" s="101"/>
      <c r="G975" s="101"/>
      <c r="H975" s="101"/>
      <c r="I975" s="101"/>
      <c r="J975" s="101"/>
      <c r="K975" s="101"/>
      <c r="L975" s="101"/>
      <c r="M975" s="101"/>
      <c r="N975" s="101"/>
      <c r="O975" s="101"/>
      <c r="P975" s="101"/>
      <c r="Q975" s="101"/>
      <c r="R975" s="101"/>
      <c r="S975" s="101"/>
      <c r="T975" s="101"/>
      <c r="U975" s="101"/>
      <c r="V975" s="101"/>
      <c r="W975" s="101"/>
      <c r="X975" s="101"/>
      <c r="Y975" s="101"/>
      <c r="Z975" s="101"/>
      <c r="AA975" s="101"/>
      <c r="AB975" s="101"/>
      <c r="AC975" s="101"/>
      <c r="AD975" s="101"/>
      <c r="AE975" s="101"/>
      <c r="AF975" s="101"/>
      <c r="AG975" s="101"/>
      <c r="AH975" s="101"/>
      <c r="AI975" s="101"/>
      <c r="AJ975" s="101"/>
      <c r="AK975" s="101"/>
      <c r="AL975" s="101"/>
      <c r="AM975" s="101"/>
      <c r="AN975" s="101"/>
      <c r="AO975" s="101"/>
    </row>
    <row r="976" spans="1:41">
      <c r="A976" s="115"/>
      <c r="B976" s="116"/>
      <c r="C976" s="117"/>
      <c r="D976" s="116"/>
      <c r="E976" s="101"/>
      <c r="F976" s="101"/>
      <c r="G976" s="101"/>
      <c r="H976" s="101"/>
      <c r="I976" s="101"/>
      <c r="J976" s="101"/>
      <c r="K976" s="101"/>
      <c r="L976" s="101"/>
      <c r="M976" s="101"/>
      <c r="N976" s="101"/>
      <c r="O976" s="101"/>
      <c r="P976" s="101"/>
      <c r="Q976" s="101"/>
      <c r="R976" s="101"/>
      <c r="S976" s="101"/>
      <c r="T976" s="101"/>
      <c r="U976" s="101"/>
      <c r="V976" s="101"/>
      <c r="W976" s="101"/>
      <c r="X976" s="101"/>
      <c r="Y976" s="101"/>
      <c r="Z976" s="101"/>
      <c r="AA976" s="101"/>
      <c r="AB976" s="101"/>
      <c r="AC976" s="101"/>
      <c r="AD976" s="101"/>
      <c r="AE976" s="101"/>
      <c r="AF976" s="101"/>
      <c r="AG976" s="101"/>
      <c r="AH976" s="101"/>
      <c r="AI976" s="101"/>
      <c r="AJ976" s="101"/>
      <c r="AK976" s="101"/>
      <c r="AL976" s="101"/>
      <c r="AM976" s="101"/>
      <c r="AN976" s="101"/>
      <c r="AO976" s="101"/>
    </row>
    <row r="977" spans="1:41">
      <c r="A977" s="115"/>
      <c r="B977" s="116"/>
      <c r="C977" s="117"/>
      <c r="D977" s="116"/>
      <c r="E977" s="101"/>
      <c r="F977" s="101"/>
      <c r="G977" s="101"/>
      <c r="H977" s="101"/>
      <c r="I977" s="101"/>
      <c r="J977" s="101"/>
      <c r="K977" s="101"/>
      <c r="L977" s="101"/>
      <c r="M977" s="101"/>
      <c r="N977" s="101"/>
      <c r="O977" s="101"/>
      <c r="P977" s="101"/>
      <c r="Q977" s="101"/>
      <c r="R977" s="101"/>
      <c r="S977" s="101"/>
      <c r="T977" s="101"/>
      <c r="U977" s="101"/>
      <c r="V977" s="101"/>
      <c r="W977" s="101"/>
      <c r="X977" s="101"/>
      <c r="Y977" s="101"/>
      <c r="Z977" s="101"/>
      <c r="AA977" s="101"/>
      <c r="AB977" s="101"/>
      <c r="AC977" s="101"/>
      <c r="AD977" s="101"/>
      <c r="AE977" s="101"/>
      <c r="AF977" s="101"/>
      <c r="AG977" s="101"/>
      <c r="AH977" s="101"/>
      <c r="AI977" s="101"/>
      <c r="AJ977" s="101"/>
      <c r="AK977" s="101"/>
      <c r="AL977" s="101"/>
      <c r="AM977" s="101"/>
      <c r="AN977" s="101"/>
      <c r="AO977" s="101"/>
    </row>
    <row r="978" spans="1:41">
      <c r="A978" s="115"/>
      <c r="B978" s="116"/>
      <c r="C978" s="117"/>
      <c r="D978" s="116"/>
      <c r="E978" s="101"/>
      <c r="F978" s="101"/>
      <c r="G978" s="101"/>
      <c r="H978" s="101"/>
      <c r="I978" s="101"/>
      <c r="J978" s="101"/>
      <c r="K978" s="101"/>
      <c r="L978" s="101"/>
      <c r="M978" s="101"/>
      <c r="N978" s="101"/>
      <c r="O978" s="101"/>
      <c r="P978" s="101"/>
      <c r="Q978" s="101"/>
      <c r="R978" s="101"/>
      <c r="S978" s="101"/>
      <c r="T978" s="101"/>
      <c r="U978" s="101"/>
      <c r="V978" s="101"/>
      <c r="W978" s="101"/>
      <c r="X978" s="101"/>
      <c r="Y978" s="101"/>
      <c r="Z978" s="101"/>
      <c r="AA978" s="101"/>
      <c r="AB978" s="101"/>
      <c r="AC978" s="101"/>
      <c r="AD978" s="101"/>
      <c r="AE978" s="101"/>
      <c r="AF978" s="101"/>
      <c r="AG978" s="101"/>
      <c r="AH978" s="101"/>
      <c r="AI978" s="101"/>
      <c r="AJ978" s="101"/>
      <c r="AK978" s="101"/>
      <c r="AL978" s="101"/>
      <c r="AM978" s="101"/>
      <c r="AN978" s="101"/>
      <c r="AO978" s="101"/>
    </row>
    <row r="979" spans="1:41">
      <c r="A979" s="115"/>
      <c r="B979" s="116"/>
      <c r="C979" s="117"/>
      <c r="D979" s="116"/>
      <c r="E979" s="101"/>
      <c r="F979" s="101"/>
      <c r="G979" s="101"/>
      <c r="H979" s="101"/>
      <c r="I979" s="101"/>
      <c r="J979" s="101"/>
      <c r="K979" s="101"/>
      <c r="L979" s="101"/>
      <c r="M979" s="101"/>
      <c r="N979" s="101"/>
      <c r="O979" s="101"/>
      <c r="P979" s="101"/>
      <c r="Q979" s="101"/>
      <c r="R979" s="101"/>
      <c r="S979" s="101"/>
      <c r="T979" s="101"/>
      <c r="U979" s="101"/>
      <c r="V979" s="101"/>
      <c r="W979" s="101"/>
      <c r="X979" s="101"/>
      <c r="Y979" s="101"/>
      <c r="Z979" s="101"/>
      <c r="AA979" s="101"/>
      <c r="AB979" s="101"/>
      <c r="AC979" s="101"/>
      <c r="AD979" s="101"/>
      <c r="AE979" s="101"/>
      <c r="AF979" s="101"/>
      <c r="AG979" s="101"/>
      <c r="AH979" s="101"/>
      <c r="AI979" s="101"/>
      <c r="AJ979" s="101"/>
      <c r="AK979" s="101"/>
      <c r="AL979" s="101"/>
      <c r="AM979" s="101"/>
      <c r="AN979" s="101"/>
      <c r="AO979" s="101"/>
    </row>
    <row r="980" spans="1:41">
      <c r="A980" s="115"/>
      <c r="B980" s="116"/>
      <c r="C980" s="117"/>
      <c r="D980" s="116"/>
      <c r="E980" s="101"/>
      <c r="F980" s="101"/>
      <c r="G980" s="101"/>
      <c r="H980" s="101"/>
      <c r="I980" s="101"/>
      <c r="J980" s="101"/>
      <c r="K980" s="101"/>
      <c r="L980" s="101"/>
      <c r="M980" s="101"/>
      <c r="N980" s="101"/>
      <c r="O980" s="101"/>
      <c r="P980" s="101"/>
      <c r="Q980" s="101"/>
      <c r="R980" s="101"/>
      <c r="S980" s="101"/>
      <c r="T980" s="101"/>
      <c r="U980" s="101"/>
      <c r="V980" s="101"/>
      <c r="W980" s="101"/>
      <c r="X980" s="101"/>
      <c r="Y980" s="101"/>
      <c r="Z980" s="101"/>
      <c r="AA980" s="101"/>
      <c r="AB980" s="101"/>
      <c r="AC980" s="101"/>
      <c r="AD980" s="101"/>
      <c r="AE980" s="101"/>
      <c r="AF980" s="101"/>
      <c r="AG980" s="101"/>
      <c r="AH980" s="101"/>
      <c r="AI980" s="101"/>
      <c r="AJ980" s="101"/>
      <c r="AK980" s="101"/>
      <c r="AL980" s="101"/>
      <c r="AM980" s="101"/>
      <c r="AN980" s="101"/>
      <c r="AO980" s="101"/>
    </row>
    <row r="981" spans="1:41">
      <c r="A981" s="115"/>
      <c r="B981" s="116"/>
      <c r="C981" s="117"/>
      <c r="D981" s="116"/>
      <c r="E981" s="101"/>
      <c r="F981" s="101"/>
      <c r="G981" s="101"/>
      <c r="H981" s="101"/>
      <c r="I981" s="101"/>
      <c r="J981" s="101"/>
      <c r="K981" s="101"/>
      <c r="L981" s="101"/>
      <c r="M981" s="101"/>
      <c r="N981" s="101"/>
      <c r="O981" s="101"/>
      <c r="P981" s="101"/>
      <c r="Q981" s="101"/>
      <c r="R981" s="101"/>
      <c r="S981" s="101"/>
      <c r="T981" s="101"/>
      <c r="U981" s="101"/>
      <c r="V981" s="101"/>
      <c r="W981" s="101"/>
      <c r="X981" s="101"/>
      <c r="Y981" s="101"/>
      <c r="Z981" s="101"/>
      <c r="AA981" s="101"/>
      <c r="AB981" s="101"/>
      <c r="AC981" s="101"/>
      <c r="AD981" s="101"/>
      <c r="AE981" s="101"/>
      <c r="AF981" s="101"/>
      <c r="AG981" s="101"/>
      <c r="AH981" s="101"/>
      <c r="AI981" s="101"/>
      <c r="AJ981" s="101"/>
      <c r="AK981" s="101"/>
      <c r="AL981" s="101"/>
      <c r="AM981" s="101"/>
      <c r="AN981" s="101"/>
      <c r="AO981" s="101"/>
    </row>
    <row r="982" spans="1:41">
      <c r="A982" s="115"/>
      <c r="B982" s="116"/>
      <c r="C982" s="117"/>
      <c r="D982" s="116"/>
      <c r="E982" s="101"/>
      <c r="F982" s="101"/>
      <c r="G982" s="101"/>
      <c r="H982" s="101"/>
      <c r="I982" s="101"/>
      <c r="J982" s="101"/>
      <c r="K982" s="101"/>
      <c r="L982" s="101"/>
      <c r="M982" s="101"/>
      <c r="N982" s="101"/>
      <c r="O982" s="101"/>
      <c r="P982" s="101"/>
      <c r="Q982" s="101"/>
      <c r="R982" s="101"/>
      <c r="S982" s="101"/>
      <c r="T982" s="101"/>
      <c r="U982" s="101"/>
      <c r="V982" s="101"/>
      <c r="W982" s="101"/>
      <c r="X982" s="101"/>
      <c r="Y982" s="101"/>
      <c r="Z982" s="101"/>
      <c r="AA982" s="101"/>
      <c r="AB982" s="101"/>
      <c r="AC982" s="101"/>
      <c r="AD982" s="101"/>
      <c r="AE982" s="101"/>
      <c r="AF982" s="101"/>
      <c r="AG982" s="101"/>
      <c r="AH982" s="101"/>
      <c r="AI982" s="101"/>
      <c r="AJ982" s="101"/>
      <c r="AK982" s="101"/>
      <c r="AL982" s="101"/>
      <c r="AM982" s="101"/>
      <c r="AN982" s="101"/>
      <c r="AO982" s="101"/>
    </row>
    <row r="983" spans="1:41">
      <c r="A983" s="115"/>
      <c r="B983" s="116"/>
      <c r="C983" s="117"/>
      <c r="D983" s="116"/>
      <c r="E983" s="101"/>
      <c r="F983" s="101"/>
      <c r="G983" s="101"/>
      <c r="H983" s="101"/>
      <c r="I983" s="101"/>
      <c r="J983" s="101"/>
      <c r="K983" s="101"/>
      <c r="L983" s="101"/>
      <c r="M983" s="101"/>
      <c r="N983" s="101"/>
      <c r="O983" s="101"/>
      <c r="P983" s="101"/>
      <c r="Q983" s="101"/>
      <c r="R983" s="101"/>
      <c r="S983" s="101"/>
      <c r="T983" s="101"/>
      <c r="U983" s="101"/>
      <c r="V983" s="101"/>
      <c r="W983" s="101"/>
      <c r="X983" s="101"/>
      <c r="Y983" s="101"/>
      <c r="Z983" s="101"/>
      <c r="AA983" s="101"/>
      <c r="AB983" s="101"/>
      <c r="AC983" s="101"/>
      <c r="AD983" s="101"/>
      <c r="AE983" s="101"/>
      <c r="AF983" s="101"/>
      <c r="AG983" s="101"/>
      <c r="AH983" s="101"/>
      <c r="AI983" s="101"/>
      <c r="AJ983" s="101"/>
      <c r="AK983" s="101"/>
      <c r="AL983" s="101"/>
      <c r="AM983" s="101"/>
      <c r="AN983" s="101"/>
      <c r="AO983" s="101"/>
    </row>
    <row r="984" spans="1:41">
      <c r="A984" s="115"/>
      <c r="B984" s="116"/>
      <c r="C984" s="117"/>
      <c r="D984" s="116"/>
      <c r="E984" s="101"/>
      <c r="F984" s="101"/>
      <c r="G984" s="101"/>
      <c r="H984" s="101"/>
      <c r="I984" s="101"/>
      <c r="J984" s="101"/>
      <c r="K984" s="101"/>
      <c r="L984" s="101"/>
      <c r="M984" s="101"/>
      <c r="N984" s="101"/>
      <c r="O984" s="101"/>
      <c r="P984" s="101"/>
      <c r="Q984" s="101"/>
      <c r="R984" s="101"/>
      <c r="S984" s="101"/>
      <c r="T984" s="101"/>
      <c r="U984" s="101"/>
      <c r="V984" s="101"/>
      <c r="W984" s="101"/>
      <c r="X984" s="101"/>
      <c r="Y984" s="101"/>
      <c r="Z984" s="101"/>
      <c r="AA984" s="101"/>
      <c r="AB984" s="101"/>
      <c r="AC984" s="101"/>
      <c r="AD984" s="101"/>
      <c r="AE984" s="101"/>
      <c r="AF984" s="101"/>
      <c r="AG984" s="101"/>
      <c r="AH984" s="101"/>
      <c r="AI984" s="101"/>
      <c r="AJ984" s="101"/>
      <c r="AK984" s="101"/>
      <c r="AL984" s="101"/>
      <c r="AM984" s="101"/>
      <c r="AN984" s="101"/>
      <c r="AO984" s="101"/>
    </row>
    <row r="985" spans="1:41">
      <c r="A985" s="115"/>
      <c r="B985" s="116"/>
      <c r="C985" s="117"/>
      <c r="D985" s="116"/>
      <c r="E985" s="101"/>
      <c r="F985" s="101"/>
      <c r="G985" s="101"/>
      <c r="H985" s="101"/>
      <c r="I985" s="101"/>
      <c r="J985" s="101"/>
      <c r="K985" s="101"/>
      <c r="L985" s="101"/>
      <c r="M985" s="101"/>
      <c r="N985" s="101"/>
      <c r="O985" s="101"/>
      <c r="P985" s="101"/>
      <c r="Q985" s="101"/>
      <c r="R985" s="101"/>
      <c r="S985" s="101"/>
      <c r="T985" s="101"/>
      <c r="U985" s="101"/>
      <c r="V985" s="101"/>
      <c r="W985" s="101"/>
      <c r="X985" s="101"/>
      <c r="Y985" s="101"/>
      <c r="Z985" s="101"/>
      <c r="AA985" s="101"/>
      <c r="AB985" s="101"/>
      <c r="AC985" s="101"/>
      <c r="AD985" s="101"/>
      <c r="AE985" s="101"/>
      <c r="AF985" s="101"/>
      <c r="AG985" s="101"/>
      <c r="AH985" s="101"/>
      <c r="AI985" s="101"/>
      <c r="AJ985" s="101"/>
      <c r="AK985" s="101"/>
      <c r="AL985" s="101"/>
      <c r="AM985" s="101"/>
      <c r="AN985" s="101"/>
      <c r="AO985" s="101"/>
    </row>
    <row r="986" spans="1:41">
      <c r="A986" s="115"/>
      <c r="B986" s="116"/>
      <c r="C986" s="117"/>
      <c r="D986" s="116"/>
      <c r="E986" s="101"/>
      <c r="F986" s="101"/>
      <c r="G986" s="101"/>
      <c r="H986" s="101"/>
      <c r="I986" s="101"/>
      <c r="J986" s="101"/>
      <c r="K986" s="101"/>
      <c r="L986" s="101"/>
      <c r="M986" s="101"/>
      <c r="N986" s="101"/>
      <c r="O986" s="101"/>
      <c r="P986" s="101"/>
      <c r="Q986" s="101"/>
      <c r="R986" s="101"/>
      <c r="S986" s="101"/>
      <c r="T986" s="101"/>
      <c r="U986" s="101"/>
      <c r="V986" s="101"/>
      <c r="W986" s="101"/>
      <c r="X986" s="101"/>
      <c r="Y986" s="101"/>
      <c r="Z986" s="101"/>
      <c r="AA986" s="101"/>
      <c r="AB986" s="101"/>
      <c r="AC986" s="101"/>
      <c r="AD986" s="101"/>
      <c r="AE986" s="101"/>
      <c r="AF986" s="101"/>
      <c r="AG986" s="101"/>
      <c r="AH986" s="101"/>
      <c r="AI986" s="101"/>
      <c r="AJ986" s="101"/>
      <c r="AK986" s="101"/>
      <c r="AL986" s="101"/>
      <c r="AM986" s="101"/>
      <c r="AN986" s="101"/>
      <c r="AO986" s="101"/>
    </row>
    <row r="987" spans="1:41">
      <c r="A987" s="115"/>
      <c r="B987" s="116"/>
      <c r="C987" s="117"/>
      <c r="D987" s="116"/>
      <c r="E987" s="101"/>
      <c r="F987" s="101"/>
      <c r="G987" s="101"/>
      <c r="H987" s="101"/>
      <c r="I987" s="101"/>
      <c r="J987" s="101"/>
      <c r="K987" s="101"/>
      <c r="L987" s="101"/>
      <c r="M987" s="101"/>
      <c r="N987" s="101"/>
      <c r="O987" s="101"/>
      <c r="P987" s="101"/>
      <c r="Q987" s="101"/>
      <c r="R987" s="101"/>
      <c r="S987" s="101"/>
      <c r="T987" s="101"/>
      <c r="U987" s="101"/>
      <c r="V987" s="101"/>
      <c r="W987" s="101"/>
      <c r="X987" s="101"/>
      <c r="Y987" s="101"/>
      <c r="Z987" s="101"/>
      <c r="AA987" s="101"/>
      <c r="AB987" s="101"/>
      <c r="AC987" s="101"/>
      <c r="AD987" s="101"/>
      <c r="AE987" s="101"/>
      <c r="AF987" s="101"/>
      <c r="AG987" s="101"/>
      <c r="AH987" s="101"/>
      <c r="AI987" s="101"/>
      <c r="AJ987" s="101"/>
      <c r="AK987" s="101"/>
      <c r="AL987" s="101"/>
      <c r="AM987" s="101"/>
      <c r="AN987" s="101"/>
      <c r="AO987" s="101"/>
    </row>
    <row r="988" spans="1:41">
      <c r="A988" s="115"/>
      <c r="B988" s="116"/>
      <c r="C988" s="117"/>
      <c r="D988" s="116"/>
      <c r="E988" s="101"/>
      <c r="F988" s="101"/>
      <c r="G988" s="101"/>
      <c r="H988" s="101"/>
      <c r="I988" s="101"/>
      <c r="J988" s="101"/>
      <c r="K988" s="101"/>
      <c r="L988" s="101"/>
      <c r="M988" s="101"/>
      <c r="N988" s="101"/>
      <c r="O988" s="101"/>
      <c r="P988" s="101"/>
      <c r="Q988" s="101"/>
      <c r="R988" s="101"/>
      <c r="S988" s="101"/>
      <c r="T988" s="101"/>
      <c r="U988" s="101"/>
      <c r="V988" s="101"/>
      <c r="W988" s="101"/>
      <c r="X988" s="101"/>
      <c r="Y988" s="101"/>
      <c r="Z988" s="101"/>
      <c r="AA988" s="101"/>
      <c r="AB988" s="101"/>
      <c r="AC988" s="101"/>
      <c r="AD988" s="101"/>
      <c r="AE988" s="101"/>
      <c r="AF988" s="101"/>
      <c r="AG988" s="101"/>
      <c r="AH988" s="101"/>
      <c r="AI988" s="101"/>
      <c r="AJ988" s="101"/>
      <c r="AK988" s="101"/>
      <c r="AL988" s="101"/>
      <c r="AM988" s="101"/>
      <c r="AN988" s="101"/>
      <c r="AO988" s="101"/>
    </row>
    <row r="989" spans="1:41">
      <c r="A989" s="115"/>
      <c r="B989" s="116"/>
      <c r="C989" s="117"/>
      <c r="D989" s="116"/>
      <c r="E989" s="101"/>
      <c r="F989" s="101"/>
      <c r="G989" s="101"/>
      <c r="H989" s="101"/>
      <c r="I989" s="101"/>
      <c r="J989" s="101"/>
      <c r="K989" s="101"/>
      <c r="L989" s="101"/>
      <c r="M989" s="101"/>
      <c r="N989" s="101"/>
      <c r="O989" s="101"/>
      <c r="P989" s="101"/>
      <c r="Q989" s="101"/>
      <c r="R989" s="101"/>
      <c r="S989" s="101"/>
      <c r="T989" s="101"/>
      <c r="U989" s="101"/>
      <c r="V989" s="101"/>
      <c r="W989" s="101"/>
      <c r="X989" s="101"/>
      <c r="Y989" s="101"/>
      <c r="Z989" s="101"/>
      <c r="AA989" s="101"/>
      <c r="AB989" s="101"/>
      <c r="AC989" s="101"/>
      <c r="AD989" s="101"/>
      <c r="AE989" s="101"/>
      <c r="AF989" s="101"/>
      <c r="AG989" s="101"/>
      <c r="AH989" s="101"/>
      <c r="AI989" s="101"/>
      <c r="AJ989" s="101"/>
      <c r="AK989" s="101"/>
      <c r="AL989" s="101"/>
      <c r="AM989" s="101"/>
      <c r="AN989" s="101"/>
      <c r="AO989" s="101"/>
    </row>
    <row r="990" spans="1:41">
      <c r="A990" s="115"/>
      <c r="B990" s="116"/>
      <c r="C990" s="117"/>
      <c r="D990" s="116"/>
      <c r="E990" s="101"/>
      <c r="F990" s="101"/>
      <c r="G990" s="101"/>
      <c r="H990" s="101"/>
      <c r="I990" s="101"/>
      <c r="J990" s="101"/>
      <c r="K990" s="101"/>
      <c r="L990" s="101"/>
      <c r="M990" s="101"/>
      <c r="N990" s="101"/>
      <c r="O990" s="101"/>
      <c r="P990" s="101"/>
      <c r="Q990" s="101"/>
      <c r="R990" s="101"/>
      <c r="S990" s="101"/>
      <c r="T990" s="101"/>
      <c r="U990" s="101"/>
      <c r="V990" s="101"/>
      <c r="W990" s="101"/>
      <c r="X990" s="101"/>
      <c r="Y990" s="101"/>
      <c r="Z990" s="101"/>
      <c r="AA990" s="101"/>
      <c r="AB990" s="101"/>
      <c r="AC990" s="101"/>
      <c r="AD990" s="101"/>
      <c r="AE990" s="101"/>
      <c r="AF990" s="101"/>
      <c r="AG990" s="101"/>
      <c r="AH990" s="101"/>
      <c r="AI990" s="101"/>
      <c r="AJ990" s="101"/>
      <c r="AK990" s="101"/>
      <c r="AL990" s="101"/>
      <c r="AM990" s="101"/>
      <c r="AN990" s="101"/>
      <c r="AO990" s="101"/>
    </row>
    <row r="991" spans="1:41">
      <c r="A991" s="115"/>
      <c r="B991" s="116"/>
      <c r="C991" s="117"/>
      <c r="D991" s="116"/>
      <c r="E991" s="101"/>
      <c r="F991" s="101"/>
      <c r="G991" s="101"/>
      <c r="H991" s="101"/>
      <c r="I991" s="101"/>
      <c r="J991" s="101"/>
      <c r="K991" s="101"/>
      <c r="L991" s="101"/>
      <c r="M991" s="101"/>
      <c r="N991" s="101"/>
      <c r="O991" s="101"/>
      <c r="P991" s="101"/>
      <c r="Q991" s="101"/>
      <c r="R991" s="101"/>
      <c r="S991" s="101"/>
      <c r="T991" s="101"/>
      <c r="U991" s="101"/>
      <c r="V991" s="101"/>
      <c r="W991" s="101"/>
      <c r="X991" s="101"/>
      <c r="Y991" s="101"/>
      <c r="Z991" s="101"/>
      <c r="AA991" s="101"/>
      <c r="AB991" s="101"/>
      <c r="AC991" s="101"/>
      <c r="AD991" s="101"/>
      <c r="AE991" s="101"/>
      <c r="AF991" s="101"/>
      <c r="AG991" s="101"/>
      <c r="AH991" s="101"/>
      <c r="AI991" s="101"/>
      <c r="AJ991" s="101"/>
      <c r="AK991" s="101"/>
      <c r="AL991" s="101"/>
      <c r="AM991" s="101"/>
      <c r="AN991" s="101"/>
      <c r="AO991" s="101"/>
    </row>
    <row r="992" spans="1:41">
      <c r="A992" s="115"/>
      <c r="B992" s="116"/>
      <c r="C992" s="117"/>
      <c r="D992" s="116"/>
      <c r="E992" s="101"/>
      <c r="F992" s="101"/>
      <c r="G992" s="101"/>
      <c r="H992" s="101"/>
      <c r="I992" s="101"/>
      <c r="J992" s="101"/>
      <c r="K992" s="101"/>
      <c r="L992" s="101"/>
      <c r="M992" s="101"/>
      <c r="N992" s="101"/>
      <c r="O992" s="101"/>
      <c r="P992" s="101"/>
      <c r="Q992" s="101"/>
      <c r="R992" s="101"/>
      <c r="S992" s="101"/>
      <c r="T992" s="101"/>
      <c r="U992" s="101"/>
      <c r="V992" s="101"/>
      <c r="W992" s="101"/>
      <c r="X992" s="101"/>
      <c r="Y992" s="101"/>
      <c r="Z992" s="101"/>
      <c r="AA992" s="101"/>
      <c r="AB992" s="101"/>
      <c r="AC992" s="101"/>
      <c r="AD992" s="101"/>
      <c r="AE992" s="101"/>
      <c r="AF992" s="101"/>
      <c r="AG992" s="101"/>
      <c r="AH992" s="101"/>
      <c r="AI992" s="101"/>
      <c r="AJ992" s="101"/>
      <c r="AK992" s="101"/>
      <c r="AL992" s="101"/>
      <c r="AM992" s="101"/>
      <c r="AN992" s="101"/>
      <c r="AO992" s="101"/>
    </row>
    <row r="993" spans="1:41">
      <c r="A993" s="115"/>
      <c r="B993" s="116"/>
      <c r="C993" s="117"/>
      <c r="D993" s="116"/>
      <c r="E993" s="101"/>
      <c r="F993" s="101"/>
      <c r="G993" s="101"/>
      <c r="H993" s="101"/>
      <c r="I993" s="101"/>
      <c r="J993" s="101"/>
      <c r="K993" s="101"/>
      <c r="L993" s="101"/>
      <c r="M993" s="101"/>
      <c r="N993" s="101"/>
      <c r="O993" s="101"/>
      <c r="P993" s="101"/>
      <c r="Q993" s="101"/>
      <c r="R993" s="101"/>
      <c r="S993" s="101"/>
      <c r="T993" s="101"/>
      <c r="U993" s="101"/>
      <c r="V993" s="101"/>
      <c r="W993" s="101"/>
      <c r="X993" s="101"/>
      <c r="Y993" s="101"/>
      <c r="Z993" s="101"/>
      <c r="AA993" s="101"/>
      <c r="AB993" s="101"/>
      <c r="AC993" s="101"/>
      <c r="AD993" s="101"/>
      <c r="AE993" s="101"/>
      <c r="AF993" s="101"/>
      <c r="AG993" s="101"/>
      <c r="AH993" s="101"/>
      <c r="AI993" s="101"/>
      <c r="AJ993" s="101"/>
      <c r="AK993" s="101"/>
      <c r="AL993" s="101"/>
      <c r="AM993" s="101"/>
      <c r="AN993" s="101"/>
      <c r="AO993" s="101"/>
    </row>
    <row r="994" spans="1:41">
      <c r="A994" s="115"/>
      <c r="B994" s="116"/>
      <c r="C994" s="117"/>
      <c r="D994" s="116"/>
      <c r="E994" s="101"/>
      <c r="F994" s="101"/>
      <c r="G994" s="101"/>
      <c r="H994" s="101"/>
      <c r="I994" s="101"/>
      <c r="J994" s="101"/>
      <c r="K994" s="101"/>
      <c r="L994" s="101"/>
      <c r="M994" s="101"/>
      <c r="N994" s="101"/>
      <c r="O994" s="101"/>
      <c r="P994" s="101"/>
      <c r="Q994" s="101"/>
      <c r="R994" s="101"/>
      <c r="S994" s="101"/>
      <c r="T994" s="101"/>
      <c r="U994" s="101"/>
      <c r="V994" s="101"/>
      <c r="W994" s="101"/>
      <c r="X994" s="101"/>
      <c r="Y994" s="101"/>
      <c r="Z994" s="101"/>
      <c r="AA994" s="101"/>
      <c r="AB994" s="101"/>
      <c r="AC994" s="101"/>
      <c r="AD994" s="101"/>
      <c r="AE994" s="101"/>
      <c r="AF994" s="101"/>
      <c r="AG994" s="101"/>
      <c r="AH994" s="101"/>
      <c r="AI994" s="101"/>
      <c r="AJ994" s="101"/>
      <c r="AK994" s="101"/>
      <c r="AL994" s="101"/>
      <c r="AM994" s="101"/>
      <c r="AN994" s="101"/>
      <c r="AO994" s="101"/>
    </row>
    <row r="995" spans="1:41">
      <c r="A995" s="115"/>
      <c r="B995" s="116"/>
      <c r="C995" s="117"/>
      <c r="D995" s="116"/>
      <c r="E995" s="101"/>
      <c r="F995" s="101"/>
      <c r="G995" s="101"/>
      <c r="H995" s="101"/>
      <c r="I995" s="101"/>
      <c r="J995" s="101"/>
      <c r="K995" s="101"/>
      <c r="L995" s="101"/>
      <c r="M995" s="101"/>
      <c r="N995" s="101"/>
      <c r="O995" s="101"/>
      <c r="P995" s="101"/>
      <c r="Q995" s="101"/>
      <c r="R995" s="101"/>
      <c r="S995" s="101"/>
      <c r="T995" s="101"/>
      <c r="U995" s="101"/>
      <c r="V995" s="101"/>
      <c r="W995" s="101"/>
      <c r="X995" s="101"/>
      <c r="Y995" s="101"/>
      <c r="Z995" s="101"/>
      <c r="AA995" s="101"/>
      <c r="AB995" s="101"/>
      <c r="AC995" s="101"/>
      <c r="AD995" s="101"/>
      <c r="AE995" s="101"/>
      <c r="AF995" s="101"/>
      <c r="AG995" s="101"/>
      <c r="AH995" s="101"/>
      <c r="AI995" s="101"/>
      <c r="AJ995" s="101"/>
      <c r="AK995" s="101"/>
      <c r="AL995" s="101"/>
      <c r="AM995" s="101"/>
      <c r="AN995" s="101"/>
      <c r="AO995" s="101"/>
    </row>
    <row r="996" spans="1:41">
      <c r="A996" s="115"/>
      <c r="B996" s="116"/>
      <c r="C996" s="117"/>
      <c r="D996" s="116"/>
      <c r="E996" s="101"/>
      <c r="F996" s="101"/>
      <c r="G996" s="101"/>
      <c r="H996" s="101"/>
      <c r="I996" s="101"/>
      <c r="J996" s="101"/>
      <c r="K996" s="101"/>
      <c r="L996" s="101"/>
      <c r="M996" s="101"/>
      <c r="N996" s="101"/>
      <c r="O996" s="101"/>
      <c r="P996" s="101"/>
      <c r="Q996" s="101"/>
      <c r="R996" s="101"/>
      <c r="S996" s="101"/>
      <c r="T996" s="101"/>
      <c r="U996" s="101"/>
      <c r="V996" s="101"/>
      <c r="W996" s="101"/>
      <c r="X996" s="101"/>
      <c r="Y996" s="101"/>
      <c r="Z996" s="101"/>
      <c r="AA996" s="101"/>
      <c r="AB996" s="101"/>
      <c r="AC996" s="101"/>
      <c r="AD996" s="101"/>
      <c r="AE996" s="101"/>
      <c r="AF996" s="101"/>
      <c r="AG996" s="101"/>
      <c r="AH996" s="101"/>
      <c r="AI996" s="101"/>
      <c r="AJ996" s="101"/>
      <c r="AK996" s="101"/>
      <c r="AL996" s="101"/>
      <c r="AM996" s="101"/>
      <c r="AN996" s="101"/>
      <c r="AO996" s="101"/>
    </row>
    <row r="997" spans="1:41">
      <c r="A997" s="115"/>
      <c r="B997" s="116"/>
      <c r="C997" s="117"/>
      <c r="D997" s="116"/>
      <c r="E997" s="101"/>
      <c r="F997" s="101"/>
      <c r="G997" s="101"/>
      <c r="H997" s="101"/>
      <c r="I997" s="101"/>
      <c r="J997" s="101"/>
      <c r="K997" s="101"/>
      <c r="L997" s="101"/>
      <c r="M997" s="101"/>
      <c r="N997" s="101"/>
      <c r="O997" s="101"/>
      <c r="P997" s="101"/>
      <c r="Q997" s="101"/>
      <c r="R997" s="101"/>
      <c r="S997" s="101"/>
      <c r="T997" s="101"/>
      <c r="U997" s="101"/>
      <c r="V997" s="101"/>
      <c r="W997" s="101"/>
      <c r="X997" s="101"/>
      <c r="Y997" s="101"/>
      <c r="Z997" s="101"/>
      <c r="AA997" s="101"/>
      <c r="AB997" s="101"/>
      <c r="AC997" s="101"/>
      <c r="AD997" s="101"/>
      <c r="AE997" s="101"/>
      <c r="AF997" s="101"/>
      <c r="AG997" s="101"/>
      <c r="AH997" s="101"/>
      <c r="AI997" s="101"/>
      <c r="AJ997" s="101"/>
      <c r="AK997" s="101"/>
      <c r="AL997" s="101"/>
      <c r="AM997" s="101"/>
      <c r="AN997" s="101"/>
      <c r="AO997" s="101"/>
    </row>
    <row r="998" spans="1:41">
      <c r="A998" s="115"/>
      <c r="B998" s="116"/>
      <c r="C998" s="117"/>
      <c r="D998" s="116"/>
      <c r="E998" s="101"/>
      <c r="F998" s="101"/>
      <c r="G998" s="101"/>
      <c r="H998" s="101"/>
      <c r="I998" s="101"/>
      <c r="J998" s="101"/>
      <c r="K998" s="101"/>
      <c r="L998" s="101"/>
      <c r="M998" s="101"/>
      <c r="N998" s="101"/>
      <c r="O998" s="101"/>
      <c r="P998" s="101"/>
      <c r="Q998" s="101"/>
      <c r="R998" s="101"/>
      <c r="S998" s="101"/>
      <c r="T998" s="101"/>
      <c r="U998" s="101"/>
      <c r="V998" s="101"/>
      <c r="W998" s="101"/>
      <c r="X998" s="101"/>
      <c r="Y998" s="101"/>
      <c r="Z998" s="101"/>
      <c r="AA998" s="101"/>
      <c r="AB998" s="101"/>
      <c r="AC998" s="101"/>
      <c r="AD998" s="101"/>
      <c r="AE998" s="101"/>
      <c r="AF998" s="101"/>
      <c r="AG998" s="101"/>
      <c r="AH998" s="101"/>
      <c r="AI998" s="101"/>
      <c r="AJ998" s="101"/>
      <c r="AK998" s="101"/>
      <c r="AL998" s="101"/>
      <c r="AM998" s="101"/>
      <c r="AN998" s="101"/>
      <c r="AO998" s="101"/>
    </row>
    <row r="999" spans="1:41">
      <c r="A999" s="115"/>
      <c r="B999" s="116"/>
      <c r="C999" s="117"/>
      <c r="D999" s="116"/>
      <c r="E999" s="101"/>
      <c r="F999" s="101"/>
      <c r="G999" s="101"/>
      <c r="H999" s="101"/>
      <c r="I999" s="101"/>
      <c r="J999" s="101"/>
      <c r="K999" s="101"/>
      <c r="L999" s="101"/>
      <c r="M999" s="101"/>
      <c r="N999" s="101"/>
      <c r="O999" s="101"/>
      <c r="P999" s="101"/>
      <c r="Q999" s="101"/>
      <c r="R999" s="101"/>
      <c r="S999" s="101"/>
      <c r="T999" s="101"/>
      <c r="U999" s="101"/>
      <c r="V999" s="101"/>
      <c r="W999" s="101"/>
      <c r="X999" s="101"/>
      <c r="Y999" s="101"/>
      <c r="Z999" s="101"/>
      <c r="AA999" s="101"/>
      <c r="AB999" s="101"/>
      <c r="AC999" s="101"/>
      <c r="AD999" s="101"/>
      <c r="AE999" s="101"/>
      <c r="AF999" s="101"/>
      <c r="AG999" s="101"/>
      <c r="AH999" s="101"/>
      <c r="AI999" s="101"/>
      <c r="AJ999" s="101"/>
      <c r="AK999" s="101"/>
      <c r="AL999" s="101"/>
      <c r="AM999" s="101"/>
      <c r="AN999" s="101"/>
      <c r="AO999" s="101"/>
    </row>
    <row r="1000" spans="1:41">
      <c r="A1000" s="115"/>
      <c r="B1000" s="116"/>
      <c r="C1000" s="117"/>
      <c r="D1000" s="116"/>
      <c r="E1000" s="101"/>
      <c r="F1000" s="101"/>
      <c r="G1000" s="101"/>
      <c r="H1000" s="101"/>
      <c r="I1000" s="101"/>
      <c r="J1000" s="101"/>
      <c r="K1000" s="101"/>
      <c r="L1000" s="101"/>
      <c r="M1000" s="101"/>
      <c r="N1000" s="101"/>
      <c r="O1000" s="101"/>
      <c r="P1000" s="101"/>
      <c r="Q1000" s="101"/>
      <c r="R1000" s="101"/>
      <c r="S1000" s="101"/>
      <c r="T1000" s="101"/>
      <c r="U1000" s="101"/>
      <c r="V1000" s="101"/>
      <c r="W1000" s="101"/>
      <c r="X1000" s="101"/>
      <c r="Y1000" s="101"/>
      <c r="Z1000" s="101"/>
      <c r="AA1000" s="101"/>
      <c r="AB1000" s="101"/>
      <c r="AC1000" s="101"/>
      <c r="AD1000" s="101"/>
      <c r="AE1000" s="101"/>
      <c r="AF1000" s="101"/>
      <c r="AG1000" s="101"/>
      <c r="AH1000" s="101"/>
      <c r="AI1000" s="101"/>
      <c r="AJ1000" s="101"/>
      <c r="AK1000" s="101"/>
      <c r="AL1000" s="101"/>
      <c r="AM1000" s="101"/>
      <c r="AN1000" s="101"/>
      <c r="AO1000" s="101"/>
    </row>
    <row r="1001" spans="1:41">
      <c r="A1001" s="115"/>
      <c r="B1001" s="116"/>
      <c r="C1001" s="117"/>
      <c r="D1001" s="116"/>
      <c r="E1001" s="101"/>
      <c r="F1001" s="101"/>
      <c r="G1001" s="101"/>
      <c r="H1001" s="101"/>
      <c r="I1001" s="101"/>
      <c r="J1001" s="101"/>
      <c r="K1001" s="101"/>
      <c r="L1001" s="101"/>
      <c r="M1001" s="101"/>
      <c r="N1001" s="101"/>
      <c r="O1001" s="101"/>
      <c r="P1001" s="101"/>
      <c r="Q1001" s="101"/>
      <c r="R1001" s="101"/>
      <c r="S1001" s="101"/>
      <c r="T1001" s="101"/>
      <c r="U1001" s="101"/>
      <c r="V1001" s="101"/>
      <c r="W1001" s="101"/>
      <c r="X1001" s="101"/>
      <c r="Y1001" s="101"/>
      <c r="Z1001" s="101"/>
      <c r="AA1001" s="101"/>
      <c r="AB1001" s="101"/>
      <c r="AC1001" s="101"/>
      <c r="AD1001" s="101"/>
      <c r="AE1001" s="101"/>
      <c r="AF1001" s="101"/>
      <c r="AG1001" s="101"/>
      <c r="AH1001" s="101"/>
      <c r="AI1001" s="101"/>
      <c r="AJ1001" s="101"/>
      <c r="AK1001" s="101"/>
      <c r="AL1001" s="101"/>
      <c r="AM1001" s="101"/>
      <c r="AN1001" s="101"/>
      <c r="AO1001" s="101"/>
    </row>
    <row r="1002" spans="1:41">
      <c r="A1002" s="115"/>
      <c r="B1002" s="116"/>
      <c r="C1002" s="117"/>
      <c r="D1002" s="116"/>
      <c r="E1002" s="101"/>
      <c r="F1002" s="101"/>
      <c r="G1002" s="101"/>
      <c r="H1002" s="101"/>
      <c r="I1002" s="101"/>
      <c r="J1002" s="101"/>
      <c r="K1002" s="101"/>
      <c r="L1002" s="101"/>
      <c r="M1002" s="101"/>
      <c r="N1002" s="101"/>
      <c r="O1002" s="101"/>
      <c r="P1002" s="101"/>
      <c r="Q1002" s="101"/>
      <c r="R1002" s="101"/>
      <c r="S1002" s="101"/>
      <c r="T1002" s="101"/>
      <c r="U1002" s="101"/>
      <c r="V1002" s="101"/>
      <c r="W1002" s="101"/>
      <c r="X1002" s="101"/>
      <c r="Y1002" s="101"/>
      <c r="Z1002" s="101"/>
      <c r="AA1002" s="101"/>
      <c r="AB1002" s="101"/>
      <c r="AC1002" s="101"/>
      <c r="AD1002" s="101"/>
      <c r="AE1002" s="101"/>
      <c r="AF1002" s="101"/>
      <c r="AG1002" s="101"/>
      <c r="AH1002" s="101"/>
      <c r="AI1002" s="101"/>
      <c r="AJ1002" s="101"/>
      <c r="AK1002" s="101"/>
      <c r="AL1002" s="101"/>
      <c r="AM1002" s="101"/>
      <c r="AN1002" s="101"/>
      <c r="AO1002" s="101"/>
    </row>
    <row r="1003" spans="1:41">
      <c r="A1003" s="115"/>
      <c r="B1003" s="116"/>
      <c r="C1003" s="117"/>
      <c r="D1003" s="116"/>
      <c r="E1003" s="101"/>
      <c r="F1003" s="101"/>
      <c r="G1003" s="101"/>
      <c r="H1003" s="101"/>
      <c r="I1003" s="101"/>
      <c r="J1003" s="101"/>
      <c r="K1003" s="101"/>
      <c r="L1003" s="101"/>
      <c r="M1003" s="101"/>
      <c r="N1003" s="101"/>
      <c r="O1003" s="101"/>
      <c r="P1003" s="101"/>
      <c r="Q1003" s="101"/>
      <c r="R1003" s="101"/>
      <c r="S1003" s="101"/>
      <c r="T1003" s="101"/>
      <c r="U1003" s="101"/>
      <c r="V1003" s="101"/>
      <c r="W1003" s="101"/>
      <c r="X1003" s="101"/>
      <c r="Y1003" s="101"/>
      <c r="Z1003" s="101"/>
      <c r="AA1003" s="101"/>
      <c r="AB1003" s="101"/>
      <c r="AC1003" s="101"/>
      <c r="AD1003" s="101"/>
      <c r="AE1003" s="101"/>
      <c r="AF1003" s="101"/>
      <c r="AG1003" s="101"/>
      <c r="AH1003" s="101"/>
      <c r="AI1003" s="101"/>
      <c r="AJ1003" s="101"/>
      <c r="AK1003" s="101"/>
      <c r="AL1003" s="101"/>
      <c r="AM1003" s="101"/>
      <c r="AN1003" s="101"/>
      <c r="AO1003" s="101"/>
    </row>
    <row r="1004" spans="1:41">
      <c r="A1004" s="115"/>
      <c r="B1004" s="116"/>
      <c r="C1004" s="117"/>
      <c r="D1004" s="116"/>
      <c r="E1004" s="101"/>
      <c r="F1004" s="101"/>
      <c r="G1004" s="101"/>
      <c r="H1004" s="101"/>
      <c r="I1004" s="101"/>
      <c r="J1004" s="101"/>
      <c r="K1004" s="101"/>
      <c r="L1004" s="101"/>
      <c r="M1004" s="101"/>
      <c r="N1004" s="101"/>
      <c r="O1004" s="101"/>
      <c r="P1004" s="101"/>
      <c r="Q1004" s="101"/>
      <c r="R1004" s="101"/>
      <c r="S1004" s="101"/>
      <c r="T1004" s="101"/>
      <c r="U1004" s="101"/>
      <c r="V1004" s="101"/>
      <c r="W1004" s="101"/>
      <c r="X1004" s="101"/>
      <c r="Y1004" s="101"/>
      <c r="Z1004" s="101"/>
      <c r="AA1004" s="101"/>
      <c r="AB1004" s="101"/>
      <c r="AC1004" s="101"/>
      <c r="AD1004" s="101"/>
      <c r="AE1004" s="101"/>
      <c r="AF1004" s="101"/>
      <c r="AG1004" s="101"/>
      <c r="AH1004" s="101"/>
      <c r="AI1004" s="101"/>
      <c r="AJ1004" s="101"/>
      <c r="AK1004" s="101"/>
      <c r="AL1004" s="101"/>
      <c r="AM1004" s="101"/>
      <c r="AN1004" s="101"/>
      <c r="AO1004" s="101"/>
    </row>
    <row r="1005" spans="1:41">
      <c r="A1005" s="115"/>
      <c r="B1005" s="116"/>
      <c r="C1005" s="117"/>
      <c r="D1005" s="116"/>
      <c r="E1005" s="101"/>
      <c r="F1005" s="101"/>
      <c r="G1005" s="101"/>
      <c r="H1005" s="101"/>
      <c r="I1005" s="101"/>
      <c r="J1005" s="101"/>
      <c r="K1005" s="101"/>
      <c r="L1005" s="101"/>
      <c r="M1005" s="101"/>
      <c r="N1005" s="101"/>
      <c r="O1005" s="101"/>
      <c r="P1005" s="101"/>
      <c r="Q1005" s="101"/>
      <c r="R1005" s="101"/>
      <c r="S1005" s="101"/>
      <c r="T1005" s="101"/>
      <c r="U1005" s="101"/>
      <c r="V1005" s="101"/>
      <c r="W1005" s="101"/>
      <c r="X1005" s="101"/>
      <c r="Y1005" s="101"/>
      <c r="Z1005" s="101"/>
      <c r="AA1005" s="101"/>
      <c r="AB1005" s="101"/>
      <c r="AC1005" s="101"/>
      <c r="AD1005" s="101"/>
      <c r="AE1005" s="101"/>
      <c r="AF1005" s="101"/>
      <c r="AG1005" s="101"/>
      <c r="AH1005" s="101"/>
      <c r="AI1005" s="101"/>
      <c r="AJ1005" s="101"/>
      <c r="AK1005" s="101"/>
      <c r="AL1005" s="101"/>
      <c r="AM1005" s="101"/>
      <c r="AN1005" s="101"/>
      <c r="AO1005" s="101"/>
    </row>
    <row r="1006" spans="1:41">
      <c r="A1006" s="115"/>
      <c r="B1006" s="116"/>
      <c r="C1006" s="117"/>
      <c r="D1006" s="116"/>
      <c r="E1006" s="101"/>
      <c r="F1006" s="101"/>
      <c r="G1006" s="101"/>
      <c r="H1006" s="101"/>
      <c r="I1006" s="101"/>
      <c r="J1006" s="101"/>
      <c r="K1006" s="101"/>
      <c r="L1006" s="101"/>
      <c r="M1006" s="101"/>
      <c r="N1006" s="101"/>
      <c r="O1006" s="101"/>
      <c r="P1006" s="101"/>
      <c r="Q1006" s="101"/>
      <c r="R1006" s="101"/>
      <c r="S1006" s="101"/>
      <c r="T1006" s="101"/>
      <c r="U1006" s="101"/>
      <c r="V1006" s="101"/>
      <c r="W1006" s="101"/>
      <c r="X1006" s="101"/>
      <c r="Y1006" s="101"/>
      <c r="Z1006" s="101"/>
      <c r="AA1006" s="101"/>
      <c r="AB1006" s="101"/>
      <c r="AC1006" s="101"/>
      <c r="AD1006" s="101"/>
      <c r="AE1006" s="101"/>
      <c r="AF1006" s="101"/>
      <c r="AG1006" s="101"/>
      <c r="AH1006" s="101"/>
      <c r="AI1006" s="101"/>
      <c r="AJ1006" s="101"/>
      <c r="AK1006" s="101"/>
      <c r="AL1006" s="101"/>
      <c r="AM1006" s="101"/>
      <c r="AN1006" s="101"/>
      <c r="AO1006" s="101"/>
    </row>
    <row r="1007" spans="1:41">
      <c r="A1007" s="115"/>
      <c r="B1007" s="116"/>
      <c r="C1007" s="117"/>
      <c r="D1007" s="116"/>
      <c r="E1007" s="101"/>
      <c r="F1007" s="101"/>
      <c r="G1007" s="101"/>
      <c r="H1007" s="101"/>
      <c r="I1007" s="101"/>
      <c r="J1007" s="101"/>
      <c r="K1007" s="101"/>
      <c r="L1007" s="101"/>
      <c r="M1007" s="101"/>
      <c r="N1007" s="101"/>
      <c r="O1007" s="101"/>
      <c r="P1007" s="101"/>
      <c r="Q1007" s="101"/>
      <c r="R1007" s="101"/>
      <c r="S1007" s="101"/>
      <c r="T1007" s="101"/>
      <c r="U1007" s="101"/>
      <c r="V1007" s="101"/>
      <c r="W1007" s="101"/>
      <c r="X1007" s="101"/>
      <c r="Y1007" s="101"/>
      <c r="Z1007" s="101"/>
      <c r="AA1007" s="101"/>
      <c r="AB1007" s="101"/>
      <c r="AC1007" s="101"/>
      <c r="AD1007" s="101"/>
      <c r="AE1007" s="101"/>
      <c r="AF1007" s="101"/>
      <c r="AG1007" s="101"/>
      <c r="AH1007" s="101"/>
      <c r="AI1007" s="101"/>
      <c r="AJ1007" s="101"/>
      <c r="AK1007" s="101"/>
      <c r="AL1007" s="101"/>
      <c r="AM1007" s="101"/>
      <c r="AN1007" s="101"/>
      <c r="AO1007" s="101"/>
    </row>
    <row r="1008" spans="1:41">
      <c r="A1008" s="115"/>
      <c r="B1008" s="116"/>
      <c r="C1008" s="117"/>
      <c r="D1008" s="116"/>
      <c r="E1008" s="101"/>
      <c r="F1008" s="101"/>
      <c r="G1008" s="101"/>
      <c r="H1008" s="101"/>
      <c r="I1008" s="101"/>
      <c r="J1008" s="101"/>
      <c r="K1008" s="101"/>
      <c r="L1008" s="101"/>
      <c r="M1008" s="101"/>
      <c r="N1008" s="101"/>
      <c r="O1008" s="101"/>
      <c r="P1008" s="101"/>
      <c r="Q1008" s="101"/>
      <c r="R1008" s="101"/>
      <c r="S1008" s="101"/>
      <c r="T1008" s="101"/>
      <c r="U1008" s="101"/>
      <c r="V1008" s="101"/>
      <c r="W1008" s="101"/>
      <c r="X1008" s="101"/>
      <c r="Y1008" s="101"/>
      <c r="Z1008" s="101"/>
      <c r="AA1008" s="101"/>
      <c r="AB1008" s="101"/>
      <c r="AC1008" s="101"/>
      <c r="AD1008" s="101"/>
      <c r="AE1008" s="101"/>
      <c r="AF1008" s="101"/>
      <c r="AG1008" s="101"/>
      <c r="AH1008" s="101"/>
      <c r="AI1008" s="101"/>
      <c r="AJ1008" s="101"/>
      <c r="AK1008" s="101"/>
      <c r="AL1008" s="101"/>
      <c r="AM1008" s="101"/>
      <c r="AN1008" s="101"/>
      <c r="AO1008" s="101"/>
    </row>
    <row r="1009" spans="1:41">
      <c r="A1009" s="115"/>
      <c r="B1009" s="116"/>
      <c r="C1009" s="117"/>
      <c r="D1009" s="116"/>
      <c r="E1009" s="101"/>
      <c r="F1009" s="101"/>
      <c r="G1009" s="101"/>
      <c r="H1009" s="101"/>
      <c r="I1009" s="101"/>
      <c r="J1009" s="101"/>
      <c r="K1009" s="101"/>
      <c r="L1009" s="101"/>
      <c r="M1009" s="101"/>
      <c r="N1009" s="101"/>
      <c r="O1009" s="101"/>
      <c r="P1009" s="101"/>
      <c r="Q1009" s="101"/>
      <c r="R1009" s="101"/>
      <c r="S1009" s="101"/>
      <c r="T1009" s="101"/>
      <c r="U1009" s="101"/>
      <c r="V1009" s="101"/>
      <c r="W1009" s="101"/>
      <c r="X1009" s="101"/>
      <c r="Y1009" s="101"/>
      <c r="Z1009" s="101"/>
      <c r="AA1009" s="101"/>
      <c r="AB1009" s="101"/>
      <c r="AC1009" s="101"/>
      <c r="AD1009" s="101"/>
      <c r="AE1009" s="101"/>
      <c r="AF1009" s="101"/>
      <c r="AG1009" s="101"/>
      <c r="AH1009" s="101"/>
      <c r="AI1009" s="101"/>
      <c r="AJ1009" s="101"/>
      <c r="AK1009" s="101"/>
      <c r="AL1009" s="101"/>
      <c r="AM1009" s="101"/>
      <c r="AN1009" s="101"/>
      <c r="AO1009" s="101"/>
    </row>
    <row r="1010" spans="1:41">
      <c r="A1010" s="115"/>
      <c r="B1010" s="116"/>
      <c r="C1010" s="117"/>
      <c r="D1010" s="116"/>
      <c r="E1010" s="101"/>
      <c r="F1010" s="101"/>
      <c r="G1010" s="101"/>
      <c r="H1010" s="101"/>
      <c r="I1010" s="101"/>
      <c r="J1010" s="101"/>
      <c r="K1010" s="101"/>
      <c r="L1010" s="101"/>
      <c r="M1010" s="101"/>
      <c r="N1010" s="101"/>
      <c r="O1010" s="101"/>
      <c r="P1010" s="101"/>
      <c r="Q1010" s="101"/>
      <c r="R1010" s="101"/>
      <c r="S1010" s="101"/>
      <c r="T1010" s="101"/>
      <c r="U1010" s="101"/>
      <c r="V1010" s="101"/>
      <c r="W1010" s="101"/>
      <c r="X1010" s="101"/>
      <c r="Y1010" s="101"/>
      <c r="Z1010" s="101"/>
      <c r="AA1010" s="101"/>
      <c r="AB1010" s="101"/>
      <c r="AC1010" s="101"/>
      <c r="AD1010" s="101"/>
      <c r="AE1010" s="101"/>
      <c r="AF1010" s="101"/>
      <c r="AG1010" s="101"/>
      <c r="AH1010" s="101"/>
      <c r="AI1010" s="101"/>
      <c r="AJ1010" s="101"/>
      <c r="AK1010" s="101"/>
      <c r="AL1010" s="101"/>
      <c r="AM1010" s="101"/>
      <c r="AN1010" s="101"/>
      <c r="AO1010" s="101"/>
    </row>
    <row r="1011" spans="1:41">
      <c r="A1011" s="115"/>
      <c r="B1011" s="116"/>
      <c r="C1011" s="117"/>
      <c r="D1011" s="116"/>
      <c r="E1011" s="101"/>
      <c r="F1011" s="101"/>
      <c r="G1011" s="101"/>
      <c r="H1011" s="101"/>
      <c r="I1011" s="101"/>
      <c r="J1011" s="101"/>
      <c r="K1011" s="101"/>
      <c r="L1011" s="101"/>
      <c r="M1011" s="101"/>
      <c r="N1011" s="101"/>
      <c r="O1011" s="101"/>
      <c r="P1011" s="101"/>
      <c r="Q1011" s="101"/>
      <c r="R1011" s="101"/>
      <c r="S1011" s="101"/>
      <c r="T1011" s="101"/>
      <c r="U1011" s="101"/>
      <c r="V1011" s="101"/>
      <c r="W1011" s="101"/>
      <c r="X1011" s="101"/>
      <c r="Y1011" s="101"/>
      <c r="Z1011" s="101"/>
      <c r="AA1011" s="101"/>
      <c r="AB1011" s="101"/>
      <c r="AC1011" s="101"/>
      <c r="AD1011" s="101"/>
      <c r="AE1011" s="101"/>
      <c r="AF1011" s="101"/>
      <c r="AG1011" s="101"/>
      <c r="AH1011" s="101"/>
      <c r="AI1011" s="101"/>
      <c r="AJ1011" s="101"/>
      <c r="AK1011" s="101"/>
      <c r="AL1011" s="101"/>
      <c r="AM1011" s="101"/>
      <c r="AN1011" s="101"/>
      <c r="AO1011" s="101"/>
    </row>
    <row r="1012" spans="1:41">
      <c r="A1012" s="115"/>
      <c r="B1012" s="116"/>
      <c r="C1012" s="117"/>
      <c r="D1012" s="116"/>
      <c r="E1012" s="101"/>
      <c r="F1012" s="101"/>
      <c r="G1012" s="101"/>
      <c r="H1012" s="101"/>
      <c r="I1012" s="101"/>
      <c r="J1012" s="101"/>
      <c r="K1012" s="101"/>
      <c r="L1012" s="101"/>
      <c r="M1012" s="101"/>
      <c r="N1012" s="101"/>
      <c r="O1012" s="101"/>
      <c r="P1012" s="101"/>
      <c r="Q1012" s="101"/>
      <c r="R1012" s="101"/>
      <c r="S1012" s="101"/>
      <c r="T1012" s="101"/>
      <c r="U1012" s="101"/>
      <c r="V1012" s="101"/>
      <c r="W1012" s="101"/>
      <c r="X1012" s="101"/>
      <c r="Y1012" s="101"/>
      <c r="Z1012" s="101"/>
      <c r="AA1012" s="101"/>
      <c r="AB1012" s="101"/>
      <c r="AC1012" s="101"/>
      <c r="AD1012" s="101"/>
      <c r="AE1012" s="101"/>
      <c r="AF1012" s="101"/>
      <c r="AG1012" s="101"/>
      <c r="AH1012" s="101"/>
      <c r="AI1012" s="101"/>
      <c r="AJ1012" s="101"/>
      <c r="AK1012" s="101"/>
      <c r="AL1012" s="101"/>
      <c r="AM1012" s="101"/>
      <c r="AN1012" s="101"/>
      <c r="AO1012" s="101"/>
    </row>
    <row r="1013" spans="1:41">
      <c r="A1013" s="115"/>
      <c r="B1013" s="116"/>
      <c r="C1013" s="117"/>
      <c r="D1013" s="116"/>
      <c r="E1013" s="101"/>
      <c r="F1013" s="101"/>
      <c r="G1013" s="101"/>
      <c r="H1013" s="101"/>
      <c r="I1013" s="101"/>
      <c r="J1013" s="101"/>
      <c r="K1013" s="101"/>
      <c r="L1013" s="101"/>
      <c r="M1013" s="101"/>
      <c r="N1013" s="101"/>
      <c r="O1013" s="101"/>
      <c r="P1013" s="101"/>
      <c r="Q1013" s="101"/>
      <c r="R1013" s="101"/>
      <c r="S1013" s="101"/>
      <c r="T1013" s="101"/>
      <c r="U1013" s="101"/>
      <c r="V1013" s="101"/>
      <c r="W1013" s="101"/>
      <c r="X1013" s="101"/>
      <c r="Y1013" s="101"/>
      <c r="Z1013" s="101"/>
      <c r="AA1013" s="101"/>
      <c r="AB1013" s="101"/>
      <c r="AC1013" s="101"/>
      <c r="AD1013" s="101"/>
      <c r="AE1013" s="101"/>
      <c r="AF1013" s="101"/>
      <c r="AG1013" s="101"/>
      <c r="AH1013" s="101"/>
      <c r="AI1013" s="101"/>
      <c r="AJ1013" s="101"/>
      <c r="AK1013" s="101"/>
      <c r="AL1013" s="101"/>
      <c r="AM1013" s="101"/>
      <c r="AN1013" s="101"/>
      <c r="AO1013" s="101"/>
    </row>
    <row r="1014" spans="1:41">
      <c r="A1014" s="115"/>
      <c r="B1014" s="116"/>
      <c r="C1014" s="117"/>
      <c r="D1014" s="116"/>
      <c r="E1014" s="101"/>
      <c r="F1014" s="101"/>
      <c r="G1014" s="101"/>
      <c r="H1014" s="101"/>
      <c r="I1014" s="101"/>
      <c r="J1014" s="101"/>
      <c r="K1014" s="101"/>
      <c r="L1014" s="101"/>
      <c r="M1014" s="101"/>
      <c r="N1014" s="101"/>
      <c r="O1014" s="101"/>
      <c r="P1014" s="101"/>
      <c r="Q1014" s="101"/>
      <c r="R1014" s="101"/>
      <c r="S1014" s="101"/>
      <c r="T1014" s="101"/>
      <c r="U1014" s="101"/>
      <c r="V1014" s="101"/>
      <c r="W1014" s="101"/>
      <c r="X1014" s="101"/>
      <c r="Y1014" s="101"/>
      <c r="Z1014" s="101"/>
      <c r="AA1014" s="101"/>
      <c r="AB1014" s="101"/>
      <c r="AC1014" s="101"/>
      <c r="AD1014" s="101"/>
      <c r="AE1014" s="101"/>
      <c r="AF1014" s="101"/>
      <c r="AG1014" s="101"/>
      <c r="AH1014" s="101"/>
      <c r="AI1014" s="101"/>
      <c r="AJ1014" s="101"/>
      <c r="AK1014" s="101"/>
      <c r="AL1014" s="101"/>
      <c r="AM1014" s="101"/>
      <c r="AN1014" s="101"/>
      <c r="AO1014" s="101"/>
    </row>
    <row r="1015" spans="1:41">
      <c r="A1015" s="115"/>
      <c r="B1015" s="116"/>
      <c r="C1015" s="117"/>
      <c r="D1015" s="116"/>
      <c r="E1015" s="101"/>
      <c r="F1015" s="101"/>
      <c r="G1015" s="101"/>
      <c r="H1015" s="101"/>
      <c r="I1015" s="101"/>
      <c r="J1015" s="101"/>
      <c r="K1015" s="101"/>
      <c r="L1015" s="101"/>
      <c r="M1015" s="101"/>
      <c r="N1015" s="101"/>
      <c r="O1015" s="101"/>
      <c r="P1015" s="101"/>
      <c r="Q1015" s="101"/>
      <c r="R1015" s="101"/>
      <c r="S1015" s="101"/>
      <c r="T1015" s="101"/>
      <c r="U1015" s="101"/>
      <c r="V1015" s="101"/>
      <c r="W1015" s="101"/>
      <c r="X1015" s="101"/>
      <c r="Y1015" s="101"/>
      <c r="Z1015" s="101"/>
      <c r="AA1015" s="101"/>
      <c r="AB1015" s="101"/>
      <c r="AC1015" s="101"/>
      <c r="AD1015" s="101"/>
      <c r="AE1015" s="101"/>
      <c r="AF1015" s="101"/>
      <c r="AG1015" s="101"/>
      <c r="AH1015" s="101"/>
      <c r="AI1015" s="101"/>
      <c r="AJ1015" s="101"/>
      <c r="AK1015" s="101"/>
      <c r="AL1015" s="101"/>
      <c r="AM1015" s="101"/>
      <c r="AN1015" s="101"/>
      <c r="AO1015" s="101"/>
    </row>
    <row r="1016" spans="1:41">
      <c r="A1016" s="115"/>
      <c r="B1016" s="116"/>
      <c r="C1016" s="117"/>
      <c r="D1016" s="116"/>
      <c r="E1016" s="101"/>
      <c r="F1016" s="101"/>
      <c r="G1016" s="101"/>
      <c r="H1016" s="101"/>
      <c r="I1016" s="101"/>
      <c r="J1016" s="101"/>
      <c r="K1016" s="101"/>
      <c r="L1016" s="101"/>
      <c r="M1016" s="101"/>
      <c r="N1016" s="101"/>
      <c r="O1016" s="101"/>
      <c r="P1016" s="101"/>
      <c r="Q1016" s="101"/>
      <c r="R1016" s="101"/>
      <c r="S1016" s="101"/>
      <c r="T1016" s="101"/>
      <c r="U1016" s="101"/>
      <c r="V1016" s="101"/>
      <c r="W1016" s="101"/>
      <c r="X1016" s="101"/>
      <c r="Y1016" s="101"/>
      <c r="Z1016" s="101"/>
      <c r="AA1016" s="101"/>
      <c r="AB1016" s="101"/>
      <c r="AC1016" s="101"/>
      <c r="AD1016" s="101"/>
      <c r="AE1016" s="101"/>
      <c r="AF1016" s="101"/>
      <c r="AG1016" s="101"/>
      <c r="AH1016" s="101"/>
      <c r="AI1016" s="101"/>
      <c r="AJ1016" s="101"/>
      <c r="AK1016" s="101"/>
      <c r="AL1016" s="101"/>
      <c r="AM1016" s="101"/>
      <c r="AN1016" s="101"/>
      <c r="AO1016" s="101"/>
    </row>
    <row r="1017" spans="1:41">
      <c r="A1017" s="115"/>
      <c r="B1017" s="116"/>
      <c r="C1017" s="117"/>
      <c r="D1017" s="116"/>
      <c r="E1017" s="101"/>
      <c r="F1017" s="101"/>
      <c r="G1017" s="101"/>
      <c r="H1017" s="101"/>
      <c r="I1017" s="101"/>
      <c r="J1017" s="101"/>
      <c r="K1017" s="101"/>
      <c r="L1017" s="101"/>
      <c r="M1017" s="101"/>
      <c r="N1017" s="101"/>
      <c r="O1017" s="101"/>
      <c r="P1017" s="101"/>
      <c r="Q1017" s="101"/>
      <c r="R1017" s="101"/>
      <c r="S1017" s="101"/>
      <c r="T1017" s="101"/>
      <c r="U1017" s="101"/>
      <c r="V1017" s="101"/>
      <c r="W1017" s="101"/>
      <c r="X1017" s="101"/>
      <c r="Y1017" s="101"/>
      <c r="Z1017" s="101"/>
      <c r="AA1017" s="101"/>
      <c r="AB1017" s="101"/>
      <c r="AC1017" s="101"/>
      <c r="AD1017" s="101"/>
      <c r="AE1017" s="101"/>
      <c r="AF1017" s="101"/>
      <c r="AG1017" s="101"/>
      <c r="AH1017" s="101"/>
      <c r="AI1017" s="101"/>
      <c r="AJ1017" s="101"/>
      <c r="AK1017" s="101"/>
      <c r="AL1017" s="101"/>
      <c r="AM1017" s="101"/>
      <c r="AN1017" s="101"/>
      <c r="AO1017" s="101"/>
    </row>
    <row r="1018" spans="1:41">
      <c r="A1018" s="115"/>
      <c r="B1018" s="116"/>
      <c r="C1018" s="117"/>
      <c r="D1018" s="116"/>
      <c r="E1018" s="101"/>
      <c r="F1018" s="101"/>
      <c r="G1018" s="101"/>
      <c r="H1018" s="101"/>
      <c r="I1018" s="101"/>
      <c r="J1018" s="101"/>
      <c r="K1018" s="101"/>
      <c r="L1018" s="101"/>
      <c r="M1018" s="101"/>
      <c r="N1018" s="101"/>
      <c r="O1018" s="101"/>
      <c r="P1018" s="101"/>
      <c r="Q1018" s="101"/>
      <c r="R1018" s="101"/>
      <c r="S1018" s="101"/>
      <c r="T1018" s="101"/>
      <c r="U1018" s="101"/>
      <c r="V1018" s="101"/>
      <c r="W1018" s="101"/>
      <c r="X1018" s="101"/>
      <c r="Y1018" s="101"/>
      <c r="Z1018" s="101"/>
      <c r="AA1018" s="101"/>
      <c r="AB1018" s="101"/>
      <c r="AC1018" s="101"/>
      <c r="AD1018" s="101"/>
      <c r="AE1018" s="101"/>
      <c r="AF1018" s="101"/>
      <c r="AG1018" s="101"/>
      <c r="AH1018" s="101"/>
      <c r="AI1018" s="101"/>
      <c r="AJ1018" s="101"/>
      <c r="AK1018" s="101"/>
      <c r="AL1018" s="101"/>
      <c r="AM1018" s="101"/>
      <c r="AN1018" s="101"/>
      <c r="AO1018" s="101"/>
    </row>
    <row r="1019" spans="1:41">
      <c r="A1019" s="115"/>
      <c r="B1019" s="116"/>
      <c r="C1019" s="117"/>
      <c r="D1019" s="116"/>
      <c r="E1019" s="101"/>
      <c r="F1019" s="101"/>
      <c r="G1019" s="101"/>
      <c r="H1019" s="101"/>
      <c r="I1019" s="101"/>
      <c r="J1019" s="101"/>
      <c r="K1019" s="101"/>
      <c r="L1019" s="101"/>
      <c r="M1019" s="101"/>
      <c r="N1019" s="101"/>
      <c r="O1019" s="101"/>
      <c r="P1019" s="101"/>
      <c r="Q1019" s="101"/>
      <c r="R1019" s="101"/>
      <c r="S1019" s="101"/>
      <c r="T1019" s="101"/>
      <c r="U1019" s="101"/>
      <c r="V1019" s="101"/>
      <c r="W1019" s="101"/>
      <c r="X1019" s="101"/>
      <c r="Y1019" s="101"/>
      <c r="Z1019" s="101"/>
      <c r="AA1019" s="101"/>
      <c r="AB1019" s="101"/>
      <c r="AC1019" s="101"/>
      <c r="AD1019" s="101"/>
      <c r="AE1019" s="101"/>
      <c r="AF1019" s="101"/>
      <c r="AG1019" s="101"/>
      <c r="AH1019" s="101"/>
      <c r="AI1019" s="101"/>
      <c r="AJ1019" s="101"/>
      <c r="AK1019" s="101"/>
      <c r="AL1019" s="101"/>
      <c r="AM1019" s="101"/>
      <c r="AN1019" s="101"/>
      <c r="AO1019" s="101"/>
    </row>
    <row r="1020" spans="1:41">
      <c r="A1020" s="115"/>
      <c r="B1020" s="116"/>
      <c r="C1020" s="117"/>
      <c r="D1020" s="116"/>
      <c r="E1020" s="101"/>
      <c r="F1020" s="101"/>
      <c r="G1020" s="101"/>
      <c r="H1020" s="101"/>
      <c r="I1020" s="101"/>
      <c r="J1020" s="101"/>
      <c r="K1020" s="101"/>
      <c r="L1020" s="101"/>
      <c r="M1020" s="101"/>
      <c r="N1020" s="101"/>
      <c r="O1020" s="101"/>
      <c r="P1020" s="101"/>
      <c r="Q1020" s="101"/>
      <c r="R1020" s="101"/>
      <c r="S1020" s="101"/>
      <c r="T1020" s="101"/>
      <c r="U1020" s="101"/>
      <c r="V1020" s="101"/>
      <c r="W1020" s="101"/>
      <c r="X1020" s="101"/>
      <c r="Y1020" s="101"/>
      <c r="Z1020" s="101"/>
      <c r="AA1020" s="101"/>
      <c r="AB1020" s="101"/>
      <c r="AC1020" s="101"/>
      <c r="AD1020" s="101"/>
      <c r="AE1020" s="101"/>
      <c r="AF1020" s="101"/>
      <c r="AG1020" s="101"/>
      <c r="AH1020" s="101"/>
      <c r="AI1020" s="101"/>
      <c r="AJ1020" s="101"/>
      <c r="AK1020" s="101"/>
      <c r="AL1020" s="101"/>
      <c r="AM1020" s="101"/>
      <c r="AN1020" s="101"/>
      <c r="AO1020" s="101"/>
    </row>
    <row r="1021" spans="1:41">
      <c r="A1021" s="115"/>
      <c r="B1021" s="116"/>
      <c r="C1021" s="117"/>
      <c r="D1021" s="116"/>
      <c r="E1021" s="101"/>
      <c r="F1021" s="101"/>
      <c r="G1021" s="101"/>
      <c r="H1021" s="101"/>
      <c r="I1021" s="101"/>
      <c r="J1021" s="101"/>
      <c r="K1021" s="101"/>
      <c r="L1021" s="101"/>
      <c r="M1021" s="101"/>
      <c r="N1021" s="101"/>
      <c r="O1021" s="101"/>
      <c r="P1021" s="101"/>
      <c r="Q1021" s="101"/>
      <c r="R1021" s="101"/>
      <c r="S1021" s="101"/>
      <c r="T1021" s="101"/>
      <c r="U1021" s="101"/>
      <c r="V1021" s="101"/>
      <c r="W1021" s="101"/>
      <c r="X1021" s="101"/>
      <c r="Y1021" s="101"/>
      <c r="Z1021" s="101"/>
      <c r="AA1021" s="101"/>
      <c r="AB1021" s="101"/>
      <c r="AC1021" s="101"/>
      <c r="AD1021" s="101"/>
      <c r="AE1021" s="101"/>
      <c r="AF1021" s="101"/>
      <c r="AG1021" s="101"/>
      <c r="AH1021" s="101"/>
      <c r="AI1021" s="101"/>
      <c r="AJ1021" s="101"/>
      <c r="AK1021" s="101"/>
      <c r="AL1021" s="101"/>
      <c r="AM1021" s="101"/>
      <c r="AN1021" s="101"/>
      <c r="AO1021" s="101"/>
    </row>
    <row r="1022" spans="1:41">
      <c r="A1022" s="115"/>
      <c r="B1022" s="116"/>
      <c r="C1022" s="117"/>
      <c r="D1022" s="116"/>
      <c r="E1022" s="101"/>
      <c r="F1022" s="101"/>
      <c r="G1022" s="101"/>
      <c r="H1022" s="101"/>
      <c r="I1022" s="101"/>
      <c r="J1022" s="101"/>
      <c r="K1022" s="101"/>
      <c r="L1022" s="101"/>
      <c r="M1022" s="101"/>
      <c r="N1022" s="101"/>
      <c r="O1022" s="101"/>
      <c r="P1022" s="101"/>
      <c r="Q1022" s="101"/>
      <c r="R1022" s="101"/>
      <c r="S1022" s="101"/>
      <c r="T1022" s="101"/>
      <c r="U1022" s="101"/>
      <c r="V1022" s="101"/>
      <c r="W1022" s="101"/>
      <c r="X1022" s="101"/>
      <c r="Y1022" s="101"/>
      <c r="Z1022" s="101"/>
      <c r="AA1022" s="101"/>
      <c r="AB1022" s="101"/>
      <c r="AC1022" s="101"/>
      <c r="AD1022" s="101"/>
      <c r="AE1022" s="101"/>
      <c r="AF1022" s="101"/>
      <c r="AG1022" s="101"/>
      <c r="AH1022" s="101"/>
      <c r="AI1022" s="101"/>
      <c r="AJ1022" s="101"/>
      <c r="AK1022" s="101"/>
      <c r="AL1022" s="101"/>
      <c r="AM1022" s="101"/>
      <c r="AN1022" s="101"/>
      <c r="AO1022" s="101"/>
    </row>
    <row r="1023" spans="1:41">
      <c r="A1023" s="115"/>
      <c r="B1023" s="116"/>
      <c r="C1023" s="117"/>
      <c r="D1023" s="116"/>
      <c r="E1023" s="101"/>
      <c r="F1023" s="101"/>
      <c r="G1023" s="101"/>
      <c r="H1023" s="101"/>
      <c r="I1023" s="101"/>
      <c r="J1023" s="101"/>
      <c r="K1023" s="101"/>
      <c r="L1023" s="101"/>
      <c r="M1023" s="101"/>
      <c r="N1023" s="101"/>
      <c r="O1023" s="101"/>
      <c r="P1023" s="101"/>
      <c r="Q1023" s="101"/>
      <c r="R1023" s="101"/>
      <c r="S1023" s="101"/>
      <c r="T1023" s="101"/>
      <c r="U1023" s="101"/>
      <c r="V1023" s="101"/>
      <c r="W1023" s="101"/>
      <c r="X1023" s="101"/>
      <c r="Y1023" s="101"/>
      <c r="Z1023" s="101"/>
      <c r="AA1023" s="101"/>
      <c r="AB1023" s="101"/>
      <c r="AC1023" s="101"/>
      <c r="AD1023" s="101"/>
      <c r="AE1023" s="101"/>
      <c r="AF1023" s="101"/>
      <c r="AG1023" s="101"/>
      <c r="AH1023" s="101"/>
      <c r="AI1023" s="101"/>
      <c r="AJ1023" s="101"/>
      <c r="AK1023" s="101"/>
      <c r="AL1023" s="101"/>
      <c r="AM1023" s="101"/>
      <c r="AN1023" s="101"/>
      <c r="AO1023" s="101"/>
    </row>
    <row r="1024" spans="1:41">
      <c r="A1024" s="115"/>
      <c r="B1024" s="116"/>
      <c r="C1024" s="117"/>
      <c r="D1024" s="116"/>
      <c r="E1024" s="101"/>
      <c r="F1024" s="101"/>
      <c r="G1024" s="101"/>
      <c r="H1024" s="101"/>
      <c r="I1024" s="101"/>
      <c r="J1024" s="101"/>
      <c r="K1024" s="101"/>
      <c r="L1024" s="101"/>
      <c r="M1024" s="101"/>
      <c r="N1024" s="101"/>
      <c r="O1024" s="101"/>
      <c r="P1024" s="101"/>
      <c r="Q1024" s="101"/>
      <c r="R1024" s="101"/>
      <c r="S1024" s="101"/>
      <c r="T1024" s="101"/>
      <c r="U1024" s="101"/>
      <c r="V1024" s="101"/>
      <c r="W1024" s="101"/>
      <c r="X1024" s="101"/>
      <c r="Y1024" s="101"/>
      <c r="Z1024" s="101"/>
      <c r="AA1024" s="101"/>
      <c r="AB1024" s="101"/>
      <c r="AC1024" s="101"/>
      <c r="AD1024" s="101"/>
      <c r="AE1024" s="101"/>
      <c r="AF1024" s="101"/>
      <c r="AG1024" s="101"/>
      <c r="AH1024" s="101"/>
      <c r="AI1024" s="101"/>
      <c r="AJ1024" s="101"/>
      <c r="AK1024" s="101"/>
      <c r="AL1024" s="101"/>
      <c r="AM1024" s="101"/>
      <c r="AN1024" s="101"/>
      <c r="AO1024" s="101"/>
    </row>
    <row r="1025" spans="1:41">
      <c r="A1025" s="115"/>
      <c r="B1025" s="116"/>
      <c r="C1025" s="117"/>
      <c r="D1025" s="116"/>
      <c r="E1025" s="101"/>
      <c r="F1025" s="101"/>
      <c r="G1025" s="101"/>
      <c r="H1025" s="101"/>
      <c r="I1025" s="101"/>
      <c r="J1025" s="101"/>
      <c r="K1025" s="101"/>
      <c r="L1025" s="101"/>
      <c r="M1025" s="101"/>
      <c r="N1025" s="101"/>
      <c r="O1025" s="101"/>
      <c r="P1025" s="101"/>
      <c r="Q1025" s="101"/>
      <c r="R1025" s="101"/>
      <c r="S1025" s="101"/>
      <c r="T1025" s="101"/>
      <c r="U1025" s="101"/>
      <c r="V1025" s="101"/>
      <c r="W1025" s="101"/>
      <c r="X1025" s="101"/>
      <c r="Y1025" s="101"/>
      <c r="Z1025" s="101"/>
      <c r="AA1025" s="101"/>
      <c r="AB1025" s="101"/>
      <c r="AC1025" s="101"/>
      <c r="AD1025" s="101"/>
      <c r="AE1025" s="101"/>
      <c r="AF1025" s="101"/>
      <c r="AG1025" s="101"/>
      <c r="AH1025" s="101"/>
      <c r="AI1025" s="101"/>
      <c r="AJ1025" s="101"/>
      <c r="AK1025" s="101"/>
      <c r="AL1025" s="101"/>
      <c r="AM1025" s="101"/>
      <c r="AN1025" s="101"/>
      <c r="AO1025" s="101"/>
    </row>
    <row r="1026" spans="1:41">
      <c r="A1026" s="115"/>
      <c r="B1026" s="116"/>
      <c r="C1026" s="117"/>
      <c r="D1026" s="116"/>
      <c r="E1026" s="101"/>
      <c r="F1026" s="101"/>
      <c r="G1026" s="101"/>
      <c r="H1026" s="101"/>
      <c r="I1026" s="101"/>
      <c r="J1026" s="101"/>
      <c r="K1026" s="101"/>
      <c r="L1026" s="101"/>
      <c r="M1026" s="101"/>
      <c r="N1026" s="101"/>
      <c r="O1026" s="101"/>
      <c r="P1026" s="101"/>
      <c r="Q1026" s="101"/>
      <c r="R1026" s="101"/>
      <c r="S1026" s="101"/>
      <c r="T1026" s="101"/>
      <c r="U1026" s="101"/>
      <c r="V1026" s="101"/>
      <c r="W1026" s="101"/>
      <c r="X1026" s="101"/>
      <c r="Y1026" s="101"/>
      <c r="Z1026" s="101"/>
      <c r="AA1026" s="101"/>
      <c r="AB1026" s="101"/>
      <c r="AC1026" s="101"/>
      <c r="AD1026" s="101"/>
      <c r="AE1026" s="101"/>
      <c r="AF1026" s="101"/>
      <c r="AG1026" s="101"/>
      <c r="AH1026" s="101"/>
      <c r="AI1026" s="101"/>
      <c r="AJ1026" s="101"/>
      <c r="AK1026" s="101"/>
      <c r="AL1026" s="101"/>
      <c r="AM1026" s="101"/>
      <c r="AN1026" s="101"/>
      <c r="AO1026" s="101"/>
    </row>
    <row r="1027" spans="1:41">
      <c r="A1027" s="115"/>
      <c r="B1027" s="116"/>
      <c r="C1027" s="117"/>
      <c r="D1027" s="116"/>
      <c r="E1027" s="101"/>
      <c r="F1027" s="101"/>
      <c r="G1027" s="101"/>
      <c r="H1027" s="101"/>
      <c r="I1027" s="101"/>
      <c r="J1027" s="101"/>
      <c r="K1027" s="101"/>
      <c r="L1027" s="101"/>
      <c r="M1027" s="101"/>
      <c r="N1027" s="101"/>
      <c r="O1027" s="101"/>
      <c r="P1027" s="101"/>
      <c r="Q1027" s="101"/>
      <c r="R1027" s="101"/>
      <c r="S1027" s="101"/>
      <c r="T1027" s="101"/>
      <c r="U1027" s="101"/>
      <c r="V1027" s="101"/>
      <c r="W1027" s="101"/>
      <c r="X1027" s="101"/>
      <c r="Y1027" s="101"/>
      <c r="Z1027" s="101"/>
      <c r="AA1027" s="101"/>
      <c r="AB1027" s="101"/>
      <c r="AC1027" s="101"/>
      <c r="AD1027" s="101"/>
      <c r="AE1027" s="101"/>
      <c r="AF1027" s="101"/>
      <c r="AG1027" s="101"/>
      <c r="AH1027" s="101"/>
      <c r="AI1027" s="101"/>
      <c r="AJ1027" s="101"/>
      <c r="AK1027" s="101"/>
      <c r="AL1027" s="101"/>
      <c r="AM1027" s="101"/>
      <c r="AN1027" s="101"/>
      <c r="AO1027" s="101"/>
    </row>
    <row r="1028" spans="1:41">
      <c r="A1028" s="115"/>
      <c r="B1028" s="116"/>
      <c r="C1028" s="117"/>
      <c r="D1028" s="116"/>
      <c r="E1028" s="101"/>
      <c r="F1028" s="101"/>
      <c r="G1028" s="101"/>
      <c r="H1028" s="101"/>
      <c r="I1028" s="101"/>
      <c r="J1028" s="101"/>
      <c r="K1028" s="101"/>
      <c r="L1028" s="101"/>
      <c r="M1028" s="101"/>
      <c r="N1028" s="101"/>
      <c r="O1028" s="101"/>
      <c r="P1028" s="101"/>
      <c r="Q1028" s="101"/>
      <c r="R1028" s="101"/>
      <c r="S1028" s="101"/>
      <c r="T1028" s="101"/>
      <c r="U1028" s="101"/>
      <c r="V1028" s="101"/>
      <c r="W1028" s="101"/>
      <c r="X1028" s="101"/>
      <c r="Y1028" s="101"/>
      <c r="Z1028" s="101"/>
      <c r="AA1028" s="101"/>
      <c r="AB1028" s="101"/>
      <c r="AC1028" s="101"/>
      <c r="AD1028" s="101"/>
      <c r="AE1028" s="101"/>
      <c r="AF1028" s="101"/>
      <c r="AG1028" s="101"/>
      <c r="AH1028" s="101"/>
      <c r="AI1028" s="101"/>
      <c r="AJ1028" s="101"/>
      <c r="AK1028" s="101"/>
      <c r="AL1028" s="101"/>
      <c r="AM1028" s="101"/>
      <c r="AN1028" s="101"/>
      <c r="AO1028" s="101"/>
    </row>
    <row r="1029" spans="1:41">
      <c r="A1029" s="115"/>
      <c r="B1029" s="116"/>
      <c r="C1029" s="117"/>
      <c r="D1029" s="116"/>
      <c r="E1029" s="101"/>
      <c r="F1029" s="101"/>
      <c r="G1029" s="101"/>
      <c r="H1029" s="101"/>
      <c r="I1029" s="101"/>
      <c r="J1029" s="101"/>
      <c r="K1029" s="101"/>
      <c r="L1029" s="101"/>
      <c r="M1029" s="101"/>
      <c r="N1029" s="101"/>
      <c r="O1029" s="101"/>
      <c r="P1029" s="101"/>
      <c r="Q1029" s="101"/>
      <c r="R1029" s="101"/>
      <c r="S1029" s="101"/>
      <c r="T1029" s="101"/>
      <c r="U1029" s="101"/>
      <c r="V1029" s="101"/>
      <c r="W1029" s="101"/>
      <c r="X1029" s="101"/>
      <c r="Y1029" s="101"/>
      <c r="Z1029" s="101"/>
      <c r="AA1029" s="101"/>
      <c r="AB1029" s="101"/>
      <c r="AC1029" s="101"/>
      <c r="AD1029" s="101"/>
      <c r="AE1029" s="101"/>
      <c r="AF1029" s="101"/>
      <c r="AG1029" s="101"/>
      <c r="AH1029" s="101"/>
      <c r="AI1029" s="101"/>
      <c r="AJ1029" s="101"/>
      <c r="AK1029" s="101"/>
      <c r="AL1029" s="101"/>
      <c r="AM1029" s="101"/>
      <c r="AN1029" s="101"/>
      <c r="AO1029" s="101"/>
    </row>
    <row r="1030" spans="1:41">
      <c r="A1030" s="115"/>
      <c r="B1030" s="116"/>
      <c r="C1030" s="117"/>
      <c r="D1030" s="116"/>
      <c r="E1030" s="101"/>
      <c r="F1030" s="101"/>
      <c r="G1030" s="101"/>
      <c r="H1030" s="101"/>
      <c r="I1030" s="101"/>
      <c r="J1030" s="101"/>
      <c r="K1030" s="101"/>
      <c r="L1030" s="101"/>
      <c r="M1030" s="101"/>
      <c r="N1030" s="101"/>
      <c r="O1030" s="101"/>
      <c r="P1030" s="101"/>
      <c r="Q1030" s="101"/>
      <c r="R1030" s="101"/>
      <c r="S1030" s="101"/>
      <c r="T1030" s="101"/>
      <c r="U1030" s="101"/>
      <c r="V1030" s="101"/>
      <c r="W1030" s="101"/>
      <c r="X1030" s="101"/>
      <c r="Y1030" s="101"/>
      <c r="Z1030" s="101"/>
      <c r="AA1030" s="101"/>
      <c r="AB1030" s="101"/>
      <c r="AC1030" s="101"/>
      <c r="AD1030" s="101"/>
      <c r="AE1030" s="101"/>
      <c r="AF1030" s="101"/>
      <c r="AG1030" s="101"/>
      <c r="AH1030" s="101"/>
      <c r="AI1030" s="101"/>
      <c r="AJ1030" s="101"/>
      <c r="AK1030" s="101"/>
      <c r="AL1030" s="101"/>
      <c r="AM1030" s="101"/>
      <c r="AN1030" s="101"/>
      <c r="AO1030" s="101"/>
    </row>
    <row r="1031" spans="1:41">
      <c r="A1031" s="115"/>
      <c r="B1031" s="116"/>
      <c r="C1031" s="117"/>
      <c r="D1031" s="116"/>
      <c r="E1031" s="101"/>
      <c r="F1031" s="101"/>
      <c r="G1031" s="101"/>
      <c r="H1031" s="101"/>
      <c r="I1031" s="101"/>
      <c r="J1031" s="101"/>
      <c r="K1031" s="101"/>
      <c r="L1031" s="101"/>
      <c r="M1031" s="101"/>
      <c r="N1031" s="101"/>
      <c r="O1031" s="101"/>
      <c r="P1031" s="101"/>
      <c r="Q1031" s="101"/>
      <c r="R1031" s="101"/>
      <c r="S1031" s="101"/>
      <c r="T1031" s="101"/>
      <c r="U1031" s="101"/>
      <c r="V1031" s="101"/>
      <c r="W1031" s="101"/>
      <c r="X1031" s="101"/>
      <c r="Y1031" s="101"/>
      <c r="Z1031" s="101"/>
      <c r="AA1031" s="101"/>
      <c r="AB1031" s="101"/>
      <c r="AC1031" s="101"/>
      <c r="AD1031" s="101"/>
      <c r="AE1031" s="101"/>
      <c r="AF1031" s="101"/>
      <c r="AG1031" s="101"/>
      <c r="AH1031" s="101"/>
      <c r="AI1031" s="101"/>
      <c r="AJ1031" s="101"/>
      <c r="AK1031" s="101"/>
      <c r="AL1031" s="101"/>
      <c r="AM1031" s="101"/>
      <c r="AN1031" s="101"/>
      <c r="AO1031" s="101"/>
    </row>
    <row r="1032" spans="1:41">
      <c r="A1032" s="115"/>
      <c r="B1032" s="116"/>
      <c r="C1032" s="117"/>
      <c r="D1032" s="116"/>
      <c r="E1032" s="101"/>
      <c r="F1032" s="101"/>
      <c r="G1032" s="101"/>
      <c r="H1032" s="101"/>
      <c r="I1032" s="101"/>
      <c r="J1032" s="101"/>
      <c r="K1032" s="101"/>
      <c r="L1032" s="101"/>
      <c r="M1032" s="101"/>
      <c r="N1032" s="101"/>
      <c r="O1032" s="101"/>
      <c r="P1032" s="101"/>
      <c r="Q1032" s="101"/>
      <c r="R1032" s="101"/>
      <c r="S1032" s="101"/>
      <c r="T1032" s="101"/>
      <c r="U1032" s="101"/>
      <c r="V1032" s="101"/>
      <c r="W1032" s="101"/>
      <c r="X1032" s="101"/>
      <c r="Y1032" s="101"/>
      <c r="Z1032" s="101"/>
      <c r="AA1032" s="101"/>
      <c r="AB1032" s="101"/>
      <c r="AC1032" s="101"/>
      <c r="AD1032" s="101"/>
      <c r="AE1032" s="101"/>
      <c r="AF1032" s="101"/>
      <c r="AG1032" s="101"/>
      <c r="AH1032" s="101"/>
      <c r="AI1032" s="101"/>
      <c r="AJ1032" s="101"/>
      <c r="AK1032" s="101"/>
      <c r="AL1032" s="101"/>
      <c r="AM1032" s="101"/>
      <c r="AN1032" s="101"/>
      <c r="AO1032" s="101"/>
    </row>
    <row r="1033" spans="1:41">
      <c r="A1033" s="115"/>
      <c r="B1033" s="116"/>
      <c r="C1033" s="117"/>
      <c r="D1033" s="116"/>
      <c r="E1033" s="101"/>
      <c r="F1033" s="101"/>
      <c r="G1033" s="101"/>
      <c r="H1033" s="101"/>
      <c r="I1033" s="101"/>
      <c r="J1033" s="101"/>
      <c r="K1033" s="101"/>
      <c r="L1033" s="101"/>
      <c r="M1033" s="101"/>
      <c r="N1033" s="101"/>
      <c r="O1033" s="101"/>
      <c r="P1033" s="101"/>
      <c r="Q1033" s="101"/>
      <c r="R1033" s="101"/>
      <c r="S1033" s="101"/>
      <c r="T1033" s="101"/>
      <c r="U1033" s="101"/>
      <c r="V1033" s="101"/>
      <c r="W1033" s="101"/>
      <c r="X1033" s="101"/>
      <c r="Y1033" s="101"/>
      <c r="Z1033" s="101"/>
      <c r="AA1033" s="101"/>
      <c r="AB1033" s="101"/>
      <c r="AC1033" s="101"/>
      <c r="AD1033" s="101"/>
      <c r="AE1033" s="101"/>
      <c r="AF1033" s="101"/>
      <c r="AG1033" s="101"/>
      <c r="AH1033" s="101"/>
      <c r="AI1033" s="101"/>
      <c r="AJ1033" s="101"/>
      <c r="AK1033" s="101"/>
      <c r="AL1033" s="101"/>
      <c r="AM1033" s="101"/>
      <c r="AN1033" s="101"/>
      <c r="AO1033" s="101"/>
    </row>
    <row r="1034" spans="1:41">
      <c r="A1034" s="115"/>
      <c r="B1034" s="116"/>
      <c r="C1034" s="117"/>
      <c r="D1034" s="116"/>
      <c r="E1034" s="101"/>
      <c r="F1034" s="101"/>
      <c r="G1034" s="101"/>
      <c r="H1034" s="101"/>
      <c r="I1034" s="101"/>
      <c r="J1034" s="101"/>
      <c r="K1034" s="101"/>
      <c r="L1034" s="101"/>
      <c r="M1034" s="101"/>
      <c r="N1034" s="101"/>
      <c r="O1034" s="101"/>
      <c r="P1034" s="101"/>
      <c r="Q1034" s="101"/>
      <c r="R1034" s="101"/>
      <c r="S1034" s="101"/>
      <c r="T1034" s="101"/>
      <c r="U1034" s="101"/>
      <c r="V1034" s="101"/>
      <c r="W1034" s="101"/>
      <c r="X1034" s="101"/>
      <c r="Y1034" s="101"/>
      <c r="Z1034" s="101"/>
      <c r="AA1034" s="101"/>
      <c r="AB1034" s="101"/>
      <c r="AC1034" s="101"/>
      <c r="AD1034" s="101"/>
      <c r="AE1034" s="101"/>
      <c r="AF1034" s="101"/>
      <c r="AG1034" s="101"/>
      <c r="AH1034" s="101"/>
      <c r="AI1034" s="101"/>
      <c r="AJ1034" s="101"/>
      <c r="AK1034" s="101"/>
      <c r="AL1034" s="101"/>
      <c r="AM1034" s="101"/>
      <c r="AN1034" s="101"/>
      <c r="AO1034" s="101"/>
    </row>
    <row r="1035" spans="1:41">
      <c r="A1035" s="115"/>
      <c r="B1035" s="116"/>
      <c r="C1035" s="117"/>
      <c r="D1035" s="116"/>
      <c r="E1035" s="101"/>
      <c r="F1035" s="101"/>
      <c r="G1035" s="101"/>
      <c r="H1035" s="101"/>
      <c r="I1035" s="101"/>
      <c r="J1035" s="101"/>
      <c r="K1035" s="101"/>
      <c r="L1035" s="101"/>
      <c r="M1035" s="101"/>
      <c r="N1035" s="101"/>
      <c r="O1035" s="101"/>
      <c r="P1035" s="101"/>
      <c r="Q1035" s="101"/>
      <c r="R1035" s="101"/>
      <c r="S1035" s="101"/>
      <c r="T1035" s="101"/>
      <c r="U1035" s="101"/>
      <c r="V1035" s="101"/>
      <c r="W1035" s="101"/>
      <c r="X1035" s="101"/>
      <c r="Y1035" s="101"/>
      <c r="Z1035" s="101"/>
      <c r="AA1035" s="101"/>
      <c r="AB1035" s="101"/>
      <c r="AC1035" s="101"/>
      <c r="AD1035" s="101"/>
      <c r="AE1035" s="101"/>
      <c r="AF1035" s="101"/>
      <c r="AG1035" s="101"/>
      <c r="AH1035" s="101"/>
      <c r="AI1035" s="101"/>
      <c r="AJ1035" s="101"/>
      <c r="AK1035" s="101"/>
      <c r="AL1035" s="101"/>
      <c r="AM1035" s="101"/>
      <c r="AN1035" s="101"/>
      <c r="AO1035" s="101"/>
    </row>
    <row r="1036" spans="1:41">
      <c r="A1036" s="115"/>
      <c r="B1036" s="116"/>
      <c r="C1036" s="117"/>
      <c r="D1036" s="116"/>
      <c r="E1036" s="101"/>
      <c r="F1036" s="101"/>
      <c r="G1036" s="101"/>
      <c r="H1036" s="101"/>
      <c r="I1036" s="101"/>
      <c r="J1036" s="101"/>
      <c r="K1036" s="101"/>
      <c r="L1036" s="101"/>
      <c r="M1036" s="101"/>
      <c r="N1036" s="101"/>
      <c r="O1036" s="101"/>
      <c r="P1036" s="101"/>
      <c r="Q1036" s="101"/>
      <c r="R1036" s="101"/>
      <c r="S1036" s="101"/>
      <c r="T1036" s="101"/>
      <c r="U1036" s="101"/>
      <c r="V1036" s="101"/>
      <c r="W1036" s="101"/>
      <c r="X1036" s="101"/>
      <c r="Y1036" s="101"/>
      <c r="Z1036" s="101"/>
      <c r="AA1036" s="101"/>
      <c r="AB1036" s="101"/>
      <c r="AC1036" s="101"/>
      <c r="AD1036" s="101"/>
      <c r="AE1036" s="101"/>
      <c r="AF1036" s="101"/>
      <c r="AG1036" s="101"/>
      <c r="AH1036" s="101"/>
      <c r="AI1036" s="101"/>
      <c r="AJ1036" s="101"/>
      <c r="AK1036" s="101"/>
      <c r="AL1036" s="101"/>
      <c r="AM1036" s="101"/>
      <c r="AN1036" s="101"/>
      <c r="AO1036" s="101"/>
    </row>
    <row r="1037" spans="1:41">
      <c r="A1037" s="115"/>
      <c r="B1037" s="116"/>
      <c r="C1037" s="117"/>
      <c r="D1037" s="116"/>
      <c r="E1037" s="101"/>
      <c r="F1037" s="101"/>
      <c r="G1037" s="101"/>
      <c r="H1037" s="101"/>
      <c r="I1037" s="101"/>
      <c r="J1037" s="101"/>
      <c r="K1037" s="101"/>
      <c r="L1037" s="101"/>
      <c r="M1037" s="101"/>
      <c r="N1037" s="101"/>
      <c r="O1037" s="101"/>
      <c r="P1037" s="101"/>
      <c r="Q1037" s="101"/>
      <c r="R1037" s="101"/>
      <c r="S1037" s="101"/>
      <c r="T1037" s="101"/>
      <c r="U1037" s="101"/>
      <c r="V1037" s="101"/>
      <c r="W1037" s="101"/>
      <c r="X1037" s="101"/>
      <c r="Y1037" s="101"/>
      <c r="Z1037" s="101"/>
      <c r="AA1037" s="101"/>
      <c r="AB1037" s="101"/>
      <c r="AC1037" s="101"/>
      <c r="AD1037" s="101"/>
      <c r="AE1037" s="101"/>
      <c r="AF1037" s="101"/>
      <c r="AG1037" s="101"/>
      <c r="AH1037" s="101"/>
      <c r="AI1037" s="101"/>
      <c r="AJ1037" s="101"/>
      <c r="AK1037" s="101"/>
      <c r="AL1037" s="101"/>
      <c r="AM1037" s="101"/>
      <c r="AN1037" s="101"/>
      <c r="AO1037" s="101"/>
    </row>
    <row r="1038" spans="1:41">
      <c r="A1038" s="115"/>
      <c r="B1038" s="116"/>
      <c r="C1038" s="117"/>
      <c r="D1038" s="116"/>
      <c r="E1038" s="101"/>
      <c r="F1038" s="101"/>
      <c r="G1038" s="101"/>
      <c r="H1038" s="101"/>
      <c r="I1038" s="101"/>
      <c r="J1038" s="101"/>
      <c r="K1038" s="101"/>
      <c r="L1038" s="101"/>
      <c r="M1038" s="101"/>
      <c r="N1038" s="101"/>
      <c r="O1038" s="101"/>
      <c r="P1038" s="101"/>
      <c r="Q1038" s="101"/>
      <c r="R1038" s="101"/>
      <c r="S1038" s="101"/>
      <c r="T1038" s="101"/>
      <c r="U1038" s="101"/>
      <c r="V1038" s="101"/>
      <c r="W1038" s="101"/>
      <c r="X1038" s="101"/>
      <c r="Y1038" s="101"/>
      <c r="Z1038" s="101"/>
      <c r="AA1038" s="101"/>
      <c r="AB1038" s="101"/>
      <c r="AC1038" s="101"/>
      <c r="AD1038" s="101"/>
      <c r="AE1038" s="101"/>
      <c r="AF1038" s="101"/>
      <c r="AG1038" s="101"/>
      <c r="AH1038" s="101"/>
      <c r="AI1038" s="101"/>
      <c r="AJ1038" s="101"/>
      <c r="AK1038" s="101"/>
      <c r="AL1038" s="101"/>
      <c r="AM1038" s="101"/>
      <c r="AN1038" s="101"/>
      <c r="AO1038" s="101"/>
    </row>
    <row r="1039" spans="1:41">
      <c r="A1039" s="115"/>
      <c r="B1039" s="116"/>
      <c r="C1039" s="117"/>
      <c r="D1039" s="116"/>
      <c r="E1039" s="101"/>
      <c r="F1039" s="101"/>
      <c r="G1039" s="101"/>
      <c r="H1039" s="101"/>
      <c r="I1039" s="101"/>
      <c r="J1039" s="101"/>
      <c r="K1039" s="101"/>
      <c r="L1039" s="101"/>
      <c r="M1039" s="101"/>
      <c r="N1039" s="101"/>
      <c r="O1039" s="101"/>
      <c r="P1039" s="101"/>
      <c r="Q1039" s="101"/>
      <c r="R1039" s="101"/>
      <c r="S1039" s="101"/>
      <c r="T1039" s="101"/>
      <c r="U1039" s="101"/>
      <c r="V1039" s="101"/>
      <c r="W1039" s="101"/>
      <c r="X1039" s="101"/>
      <c r="Y1039" s="101"/>
      <c r="Z1039" s="101"/>
      <c r="AA1039" s="101"/>
      <c r="AB1039" s="101"/>
      <c r="AC1039" s="101"/>
      <c r="AD1039" s="101"/>
      <c r="AE1039" s="101"/>
      <c r="AF1039" s="101"/>
      <c r="AG1039" s="101"/>
      <c r="AH1039" s="101"/>
      <c r="AI1039" s="101"/>
      <c r="AJ1039" s="101"/>
      <c r="AK1039" s="101"/>
      <c r="AL1039" s="101"/>
      <c r="AM1039" s="101"/>
      <c r="AN1039" s="101"/>
      <c r="AO1039" s="101"/>
    </row>
    <row r="1040" spans="1:41">
      <c r="A1040" s="115"/>
      <c r="B1040" s="116"/>
      <c r="C1040" s="117"/>
      <c r="D1040" s="116"/>
      <c r="E1040" s="101"/>
      <c r="F1040" s="101"/>
      <c r="G1040" s="101"/>
      <c r="H1040" s="101"/>
      <c r="I1040" s="101"/>
      <c r="J1040" s="101"/>
      <c r="K1040" s="101"/>
      <c r="L1040" s="101"/>
      <c r="M1040" s="101"/>
      <c r="N1040" s="101"/>
      <c r="O1040" s="101"/>
      <c r="P1040" s="101"/>
      <c r="Q1040" s="101"/>
      <c r="R1040" s="101"/>
      <c r="S1040" s="101"/>
      <c r="T1040" s="101"/>
      <c r="U1040" s="101"/>
      <c r="V1040" s="101"/>
      <c r="W1040" s="101"/>
      <c r="X1040" s="101"/>
      <c r="Y1040" s="101"/>
      <c r="Z1040" s="101"/>
      <c r="AA1040" s="101"/>
      <c r="AB1040" s="101"/>
      <c r="AC1040" s="101"/>
      <c r="AD1040" s="101"/>
      <c r="AE1040" s="101"/>
      <c r="AF1040" s="101"/>
      <c r="AG1040" s="101"/>
      <c r="AH1040" s="101"/>
      <c r="AI1040" s="101"/>
      <c r="AJ1040" s="101"/>
      <c r="AK1040" s="101"/>
      <c r="AL1040" s="101"/>
      <c r="AM1040" s="101"/>
      <c r="AN1040" s="101"/>
      <c r="AO1040" s="101"/>
    </row>
    <row r="1041" spans="1:41">
      <c r="A1041" s="115"/>
      <c r="B1041" s="116"/>
      <c r="C1041" s="117"/>
      <c r="D1041" s="116"/>
      <c r="E1041" s="101"/>
      <c r="F1041" s="101"/>
      <c r="G1041" s="101"/>
      <c r="H1041" s="101"/>
      <c r="I1041" s="101"/>
      <c r="J1041" s="101"/>
      <c r="K1041" s="101"/>
      <c r="L1041" s="101"/>
      <c r="M1041" s="101"/>
      <c r="N1041" s="101"/>
      <c r="O1041" s="101"/>
      <c r="P1041" s="101"/>
      <c r="Q1041" s="101"/>
      <c r="R1041" s="101"/>
      <c r="S1041" s="101"/>
      <c r="T1041" s="101"/>
      <c r="U1041" s="101"/>
      <c r="V1041" s="101"/>
      <c r="W1041" s="101"/>
      <c r="X1041" s="101"/>
      <c r="Y1041" s="101"/>
      <c r="Z1041" s="101"/>
      <c r="AA1041" s="101"/>
      <c r="AB1041" s="101"/>
      <c r="AC1041" s="101"/>
      <c r="AD1041" s="101"/>
      <c r="AE1041" s="101"/>
      <c r="AF1041" s="101"/>
      <c r="AG1041" s="101"/>
      <c r="AH1041" s="101"/>
      <c r="AI1041" s="101"/>
      <c r="AJ1041" s="101"/>
      <c r="AK1041" s="101"/>
      <c r="AL1041" s="101"/>
      <c r="AM1041" s="101"/>
      <c r="AN1041" s="101"/>
      <c r="AO1041" s="101"/>
    </row>
    <row r="1042" spans="1:41">
      <c r="A1042" s="115"/>
      <c r="B1042" s="116"/>
      <c r="C1042" s="117"/>
      <c r="D1042" s="116"/>
      <c r="E1042" s="101"/>
      <c r="F1042" s="101"/>
      <c r="G1042" s="101"/>
      <c r="H1042" s="101"/>
      <c r="I1042" s="101"/>
      <c r="J1042" s="101"/>
      <c r="K1042" s="101"/>
      <c r="L1042" s="101"/>
      <c r="M1042" s="101"/>
      <c r="N1042" s="101"/>
      <c r="O1042" s="101"/>
      <c r="P1042" s="101"/>
      <c r="Q1042" s="101"/>
      <c r="R1042" s="101"/>
      <c r="S1042" s="101"/>
      <c r="T1042" s="101"/>
      <c r="U1042" s="101"/>
      <c r="V1042" s="101"/>
      <c r="W1042" s="101"/>
      <c r="X1042" s="101"/>
      <c r="Y1042" s="101"/>
      <c r="Z1042" s="101"/>
      <c r="AA1042" s="101"/>
      <c r="AB1042" s="101"/>
      <c r="AC1042" s="101"/>
      <c r="AD1042" s="101"/>
      <c r="AE1042" s="101"/>
      <c r="AF1042" s="101"/>
      <c r="AG1042" s="101"/>
      <c r="AH1042" s="101"/>
      <c r="AI1042" s="101"/>
      <c r="AJ1042" s="101"/>
      <c r="AK1042" s="101"/>
      <c r="AL1042" s="101"/>
      <c r="AM1042" s="101"/>
      <c r="AN1042" s="101"/>
      <c r="AO1042" s="101"/>
    </row>
    <row r="1043" spans="1:41">
      <c r="A1043" s="115"/>
      <c r="B1043" s="116"/>
      <c r="C1043" s="117"/>
      <c r="D1043" s="116"/>
      <c r="E1043" s="101"/>
      <c r="F1043" s="101"/>
      <c r="G1043" s="101"/>
      <c r="H1043" s="101"/>
      <c r="I1043" s="101"/>
      <c r="J1043" s="101"/>
      <c r="K1043" s="101"/>
      <c r="L1043" s="101"/>
      <c r="M1043" s="101"/>
      <c r="N1043" s="101"/>
      <c r="O1043" s="101"/>
      <c r="P1043" s="101"/>
      <c r="Q1043" s="101"/>
      <c r="R1043" s="101"/>
      <c r="S1043" s="101"/>
      <c r="T1043" s="101"/>
      <c r="U1043" s="101"/>
      <c r="V1043" s="101"/>
      <c r="W1043" s="101"/>
      <c r="X1043" s="101"/>
      <c r="Y1043" s="101"/>
      <c r="Z1043" s="101"/>
      <c r="AA1043" s="101"/>
      <c r="AB1043" s="101"/>
      <c r="AC1043" s="101"/>
      <c r="AD1043" s="101"/>
      <c r="AE1043" s="101"/>
      <c r="AF1043" s="101"/>
      <c r="AG1043" s="101"/>
      <c r="AH1043" s="101"/>
      <c r="AI1043" s="101"/>
      <c r="AJ1043" s="101"/>
      <c r="AK1043" s="101"/>
      <c r="AL1043" s="101"/>
      <c r="AM1043" s="101"/>
      <c r="AN1043" s="101"/>
      <c r="AO1043" s="101"/>
    </row>
    <row r="1044" spans="1:41">
      <c r="A1044" s="115"/>
      <c r="B1044" s="116"/>
      <c r="C1044" s="117"/>
      <c r="D1044" s="116"/>
      <c r="E1044" s="101"/>
      <c r="F1044" s="101"/>
      <c r="G1044" s="101"/>
      <c r="H1044" s="101"/>
      <c r="I1044" s="101"/>
      <c r="J1044" s="101"/>
      <c r="K1044" s="101"/>
      <c r="L1044" s="101"/>
      <c r="M1044" s="101"/>
      <c r="N1044" s="101"/>
      <c r="O1044" s="101"/>
      <c r="P1044" s="101"/>
      <c r="Q1044" s="101"/>
      <c r="R1044" s="101"/>
      <c r="S1044" s="101"/>
      <c r="T1044" s="101"/>
      <c r="U1044" s="101"/>
      <c r="V1044" s="101"/>
      <c r="W1044" s="101"/>
      <c r="X1044" s="101"/>
      <c r="Y1044" s="101"/>
      <c r="Z1044" s="101"/>
      <c r="AA1044" s="101"/>
      <c r="AB1044" s="101"/>
      <c r="AC1044" s="101"/>
      <c r="AD1044" s="101"/>
      <c r="AE1044" s="101"/>
      <c r="AF1044" s="101"/>
      <c r="AG1044" s="101"/>
      <c r="AH1044" s="101"/>
      <c r="AI1044" s="101"/>
      <c r="AJ1044" s="101"/>
      <c r="AK1044" s="101"/>
      <c r="AL1044" s="101"/>
      <c r="AM1044" s="101"/>
      <c r="AN1044" s="101"/>
      <c r="AO1044" s="101"/>
    </row>
    <row r="1045" spans="1:41">
      <c r="A1045" s="115"/>
      <c r="B1045" s="116"/>
      <c r="C1045" s="117"/>
      <c r="D1045" s="116"/>
      <c r="E1045" s="101"/>
      <c r="F1045" s="101"/>
      <c r="G1045" s="101"/>
      <c r="H1045" s="101"/>
      <c r="I1045" s="101"/>
      <c r="J1045" s="101"/>
      <c r="K1045" s="101"/>
      <c r="L1045" s="101"/>
      <c r="M1045" s="101"/>
      <c r="N1045" s="101"/>
      <c r="O1045" s="101"/>
      <c r="P1045" s="101"/>
      <c r="Q1045" s="101"/>
      <c r="R1045" s="101"/>
      <c r="S1045" s="101"/>
      <c r="T1045" s="101"/>
      <c r="U1045" s="101"/>
      <c r="V1045" s="101"/>
      <c r="W1045" s="101"/>
      <c r="X1045" s="101"/>
      <c r="Y1045" s="101"/>
      <c r="Z1045" s="101"/>
      <c r="AA1045" s="101"/>
      <c r="AB1045" s="101"/>
      <c r="AC1045" s="101"/>
      <c r="AD1045" s="101"/>
      <c r="AE1045" s="101"/>
      <c r="AF1045" s="101"/>
      <c r="AG1045" s="101"/>
      <c r="AH1045" s="101"/>
      <c r="AI1045" s="101"/>
      <c r="AJ1045" s="101"/>
      <c r="AK1045" s="101"/>
      <c r="AL1045" s="101"/>
      <c r="AM1045" s="101"/>
      <c r="AN1045" s="101"/>
      <c r="AO1045" s="101"/>
    </row>
    <row r="1046" spans="1:41">
      <c r="A1046" s="115"/>
      <c r="B1046" s="116"/>
      <c r="C1046" s="117"/>
      <c r="D1046" s="116"/>
      <c r="E1046" s="101"/>
      <c r="F1046" s="101"/>
      <c r="G1046" s="101"/>
      <c r="H1046" s="101"/>
      <c r="I1046" s="101"/>
      <c r="J1046" s="101"/>
      <c r="K1046" s="101"/>
      <c r="L1046" s="101"/>
      <c r="M1046" s="101"/>
      <c r="N1046" s="101"/>
      <c r="O1046" s="101"/>
      <c r="P1046" s="101"/>
      <c r="Q1046" s="101"/>
      <c r="R1046" s="101"/>
      <c r="S1046" s="101"/>
      <c r="T1046" s="101"/>
      <c r="U1046" s="101"/>
      <c r="V1046" s="101"/>
      <c r="W1046" s="101"/>
      <c r="X1046" s="101"/>
      <c r="Y1046" s="101"/>
      <c r="Z1046" s="101"/>
      <c r="AA1046" s="101"/>
      <c r="AB1046" s="101"/>
      <c r="AC1046" s="101"/>
      <c r="AD1046" s="101"/>
      <c r="AE1046" s="101"/>
      <c r="AF1046" s="101"/>
      <c r="AG1046" s="101"/>
      <c r="AH1046" s="101"/>
      <c r="AI1046" s="101"/>
      <c r="AJ1046" s="101"/>
      <c r="AK1046" s="101"/>
      <c r="AL1046" s="101"/>
      <c r="AM1046" s="101"/>
      <c r="AN1046" s="101"/>
      <c r="AO1046" s="101"/>
    </row>
    <row r="1047" spans="1:41">
      <c r="A1047" s="115"/>
      <c r="B1047" s="116"/>
      <c r="C1047" s="117"/>
      <c r="D1047" s="116"/>
      <c r="E1047" s="101"/>
      <c r="F1047" s="101"/>
      <c r="G1047" s="101"/>
      <c r="H1047" s="101"/>
      <c r="I1047" s="101"/>
      <c r="J1047" s="101"/>
      <c r="K1047" s="101"/>
      <c r="L1047" s="101"/>
      <c r="M1047" s="101"/>
      <c r="N1047" s="101"/>
      <c r="O1047" s="101"/>
      <c r="P1047" s="101"/>
      <c r="Q1047" s="101"/>
      <c r="R1047" s="101"/>
      <c r="S1047" s="101"/>
      <c r="T1047" s="101"/>
      <c r="U1047" s="101"/>
      <c r="V1047" s="101"/>
      <c r="W1047" s="101"/>
      <c r="X1047" s="101"/>
      <c r="Y1047" s="101"/>
      <c r="Z1047" s="101"/>
      <c r="AA1047" s="101"/>
      <c r="AB1047" s="101"/>
      <c r="AC1047" s="101"/>
      <c r="AD1047" s="101"/>
      <c r="AE1047" s="101"/>
      <c r="AF1047" s="101"/>
      <c r="AG1047" s="101"/>
      <c r="AH1047" s="101"/>
      <c r="AI1047" s="101"/>
      <c r="AJ1047" s="101"/>
      <c r="AK1047" s="101"/>
      <c r="AL1047" s="101"/>
      <c r="AM1047" s="101"/>
      <c r="AN1047" s="101"/>
      <c r="AO1047" s="101"/>
    </row>
    <row r="1048" spans="1:41">
      <c r="A1048" s="115"/>
      <c r="B1048" s="116"/>
      <c r="C1048" s="117"/>
      <c r="D1048" s="116"/>
      <c r="E1048" s="101"/>
      <c r="F1048" s="101"/>
      <c r="G1048" s="101"/>
      <c r="H1048" s="101"/>
      <c r="I1048" s="101"/>
      <c r="J1048" s="101"/>
      <c r="K1048" s="101"/>
      <c r="L1048" s="101"/>
      <c r="M1048" s="101"/>
      <c r="N1048" s="101"/>
      <c r="O1048" s="101"/>
      <c r="P1048" s="101"/>
      <c r="Q1048" s="101"/>
      <c r="R1048" s="101"/>
      <c r="S1048" s="101"/>
      <c r="T1048" s="101"/>
      <c r="U1048" s="101"/>
      <c r="V1048" s="101"/>
      <c r="W1048" s="101"/>
      <c r="X1048" s="101"/>
      <c r="Y1048" s="101"/>
      <c r="Z1048" s="101"/>
      <c r="AA1048" s="101"/>
      <c r="AB1048" s="101"/>
      <c r="AC1048" s="101"/>
      <c r="AD1048" s="101"/>
      <c r="AE1048" s="101"/>
      <c r="AF1048" s="101"/>
      <c r="AG1048" s="101"/>
      <c r="AH1048" s="101"/>
      <c r="AI1048" s="101"/>
      <c r="AJ1048" s="101"/>
      <c r="AK1048" s="101"/>
      <c r="AL1048" s="101"/>
      <c r="AM1048" s="101"/>
      <c r="AN1048" s="101"/>
      <c r="AO1048" s="101"/>
    </row>
    <row r="1049" spans="1:41">
      <c r="A1049" s="115"/>
      <c r="B1049" s="116"/>
      <c r="C1049" s="117"/>
      <c r="D1049" s="116"/>
      <c r="E1049" s="101"/>
      <c r="F1049" s="101"/>
      <c r="G1049" s="101"/>
      <c r="H1049" s="101"/>
      <c r="I1049" s="101"/>
      <c r="J1049" s="101"/>
      <c r="K1049" s="101"/>
      <c r="L1049" s="101"/>
      <c r="M1049" s="101"/>
      <c r="N1049" s="101"/>
      <c r="O1049" s="101"/>
      <c r="P1049" s="101"/>
      <c r="Q1049" s="101"/>
      <c r="R1049" s="101"/>
      <c r="S1049" s="101"/>
      <c r="T1049" s="101"/>
      <c r="U1049" s="101"/>
      <c r="V1049" s="101"/>
      <c r="W1049" s="101"/>
      <c r="X1049" s="101"/>
      <c r="Y1049" s="101"/>
      <c r="Z1049" s="101"/>
      <c r="AA1049" s="101"/>
      <c r="AB1049" s="101"/>
      <c r="AC1049" s="101"/>
      <c r="AD1049" s="101"/>
      <c r="AE1049" s="101"/>
      <c r="AF1049" s="101"/>
      <c r="AG1049" s="101"/>
      <c r="AH1049" s="101"/>
      <c r="AI1049" s="101"/>
      <c r="AJ1049" s="101"/>
      <c r="AK1049" s="101"/>
      <c r="AL1049" s="101"/>
      <c r="AM1049" s="101"/>
      <c r="AN1049" s="101"/>
      <c r="AO1049" s="101"/>
    </row>
    <row r="1050" spans="1:41">
      <c r="A1050" s="115"/>
      <c r="B1050" s="116"/>
      <c r="C1050" s="117"/>
      <c r="D1050" s="116"/>
      <c r="E1050" s="101"/>
      <c r="F1050" s="101"/>
      <c r="G1050" s="101"/>
      <c r="H1050" s="101"/>
      <c r="I1050" s="101"/>
      <c r="J1050" s="101"/>
      <c r="K1050" s="101"/>
      <c r="L1050" s="101"/>
      <c r="M1050" s="101"/>
      <c r="N1050" s="101"/>
      <c r="O1050" s="101"/>
      <c r="P1050" s="101"/>
      <c r="Q1050" s="101"/>
      <c r="R1050" s="101"/>
      <c r="S1050" s="101"/>
      <c r="T1050" s="101"/>
      <c r="U1050" s="101"/>
      <c r="V1050" s="101"/>
      <c r="W1050" s="101"/>
      <c r="X1050" s="101"/>
      <c r="Y1050" s="101"/>
      <c r="Z1050" s="101"/>
      <c r="AA1050" s="101"/>
      <c r="AB1050" s="101"/>
      <c r="AC1050" s="101"/>
      <c r="AD1050" s="101"/>
      <c r="AE1050" s="101"/>
      <c r="AF1050" s="101"/>
      <c r="AG1050" s="101"/>
      <c r="AH1050" s="101"/>
      <c r="AI1050" s="101"/>
      <c r="AJ1050" s="101"/>
      <c r="AK1050" s="101"/>
      <c r="AL1050" s="101"/>
      <c r="AM1050" s="101"/>
      <c r="AN1050" s="101"/>
      <c r="AO1050" s="101"/>
    </row>
    <row r="1051" spans="1:41">
      <c r="A1051" s="115"/>
      <c r="B1051" s="116"/>
      <c r="C1051" s="117"/>
      <c r="D1051" s="116"/>
      <c r="E1051" s="101"/>
      <c r="F1051" s="101"/>
      <c r="G1051" s="101"/>
      <c r="H1051" s="101"/>
      <c r="I1051" s="101"/>
      <c r="J1051" s="101"/>
      <c r="K1051" s="101"/>
      <c r="L1051" s="101"/>
      <c r="M1051" s="101"/>
      <c r="N1051" s="101"/>
      <c r="O1051" s="101"/>
      <c r="P1051" s="101"/>
      <c r="Q1051" s="101"/>
      <c r="R1051" s="101"/>
      <c r="S1051" s="101"/>
      <c r="T1051" s="101"/>
      <c r="U1051" s="101"/>
      <c r="V1051" s="101"/>
      <c r="W1051" s="101"/>
      <c r="X1051" s="101"/>
      <c r="Y1051" s="101"/>
      <c r="Z1051" s="101"/>
      <c r="AA1051" s="101"/>
      <c r="AB1051" s="101"/>
      <c r="AC1051" s="101"/>
      <c r="AD1051" s="101"/>
      <c r="AE1051" s="101"/>
      <c r="AF1051" s="101"/>
      <c r="AG1051" s="101"/>
      <c r="AH1051" s="101"/>
      <c r="AI1051" s="101"/>
      <c r="AJ1051" s="101"/>
      <c r="AK1051" s="101"/>
      <c r="AL1051" s="101"/>
      <c r="AM1051" s="101"/>
      <c r="AN1051" s="101"/>
      <c r="AO1051" s="101"/>
    </row>
    <row r="1052" spans="1:41">
      <c r="A1052" s="115"/>
      <c r="B1052" s="116"/>
      <c r="C1052" s="117"/>
      <c r="D1052" s="116"/>
      <c r="E1052" s="101"/>
      <c r="F1052" s="101"/>
      <c r="G1052" s="101"/>
      <c r="H1052" s="101"/>
      <c r="I1052" s="101"/>
      <c r="J1052" s="101"/>
      <c r="K1052" s="101"/>
      <c r="L1052" s="101"/>
      <c r="M1052" s="101"/>
      <c r="N1052" s="101"/>
      <c r="O1052" s="101"/>
      <c r="P1052" s="101"/>
      <c r="Q1052" s="101"/>
      <c r="R1052" s="101"/>
      <c r="S1052" s="101"/>
      <c r="T1052" s="101"/>
      <c r="U1052" s="101"/>
      <c r="V1052" s="101"/>
      <c r="W1052" s="101"/>
      <c r="X1052" s="101"/>
      <c r="Y1052" s="101"/>
      <c r="Z1052" s="101"/>
      <c r="AA1052" s="101"/>
      <c r="AB1052" s="101"/>
      <c r="AC1052" s="101"/>
      <c r="AD1052" s="101"/>
      <c r="AE1052" s="101"/>
      <c r="AF1052" s="101"/>
      <c r="AG1052" s="101"/>
      <c r="AH1052" s="101"/>
      <c r="AI1052" s="101"/>
      <c r="AJ1052" s="101"/>
      <c r="AK1052" s="101"/>
      <c r="AL1052" s="101"/>
      <c r="AM1052" s="101"/>
      <c r="AN1052" s="101"/>
      <c r="AO1052" s="101"/>
    </row>
    <row r="1053" spans="1:41">
      <c r="A1053" s="115"/>
      <c r="B1053" s="116"/>
      <c r="C1053" s="117"/>
      <c r="D1053" s="116"/>
      <c r="E1053" s="101"/>
      <c r="F1053" s="101"/>
      <c r="G1053" s="101"/>
      <c r="H1053" s="101"/>
      <c r="I1053" s="101"/>
      <c r="J1053" s="101"/>
      <c r="K1053" s="101"/>
      <c r="L1053" s="101"/>
      <c r="M1053" s="101"/>
      <c r="N1053" s="101"/>
      <c r="O1053" s="101"/>
      <c r="P1053" s="101"/>
      <c r="Q1053" s="101"/>
      <c r="R1053" s="101"/>
      <c r="S1053" s="101"/>
      <c r="T1053" s="101"/>
      <c r="U1053" s="101"/>
      <c r="V1053" s="101"/>
      <c r="W1053" s="101"/>
      <c r="X1053" s="101"/>
      <c r="Y1053" s="101"/>
      <c r="Z1053" s="101"/>
      <c r="AA1053" s="101"/>
      <c r="AB1053" s="101"/>
      <c r="AC1053" s="101"/>
      <c r="AD1053" s="101"/>
      <c r="AE1053" s="101"/>
      <c r="AF1053" s="101"/>
      <c r="AG1053" s="101"/>
      <c r="AH1053" s="101"/>
      <c r="AI1053" s="101"/>
      <c r="AJ1053" s="101"/>
      <c r="AK1053" s="101"/>
      <c r="AL1053" s="101"/>
      <c r="AM1053" s="101"/>
      <c r="AN1053" s="101"/>
      <c r="AO1053" s="101"/>
    </row>
    <row r="1054" spans="1:41">
      <c r="A1054" s="115"/>
      <c r="B1054" s="116"/>
      <c r="C1054" s="117"/>
      <c r="D1054" s="116"/>
      <c r="E1054" s="101"/>
      <c r="F1054" s="101"/>
      <c r="G1054" s="101"/>
      <c r="H1054" s="101"/>
      <c r="I1054" s="101"/>
      <c r="J1054" s="101"/>
      <c r="K1054" s="101"/>
      <c r="L1054" s="101"/>
      <c r="M1054" s="101"/>
      <c r="N1054" s="101"/>
      <c r="O1054" s="101"/>
      <c r="P1054" s="101"/>
      <c r="Q1054" s="101"/>
      <c r="R1054" s="101"/>
      <c r="S1054" s="101"/>
      <c r="T1054" s="101"/>
      <c r="U1054" s="101"/>
      <c r="V1054" s="101"/>
      <c r="W1054" s="101"/>
      <c r="X1054" s="101"/>
      <c r="Y1054" s="101"/>
      <c r="Z1054" s="101"/>
      <c r="AA1054" s="101"/>
      <c r="AB1054" s="101"/>
      <c r="AC1054" s="101"/>
      <c r="AD1054" s="101"/>
      <c r="AE1054" s="101"/>
      <c r="AF1054" s="101"/>
      <c r="AG1054" s="101"/>
      <c r="AH1054" s="101"/>
      <c r="AI1054" s="101"/>
      <c r="AJ1054" s="101"/>
      <c r="AK1054" s="101"/>
      <c r="AL1054" s="101"/>
      <c r="AM1054" s="101"/>
      <c r="AN1054" s="101"/>
      <c r="AO1054" s="101"/>
    </row>
    <row r="1055" spans="1:41">
      <c r="A1055" s="115"/>
      <c r="B1055" s="116"/>
      <c r="C1055" s="117"/>
      <c r="D1055" s="116"/>
      <c r="E1055" s="101"/>
      <c r="F1055" s="101"/>
      <c r="G1055" s="101"/>
      <c r="H1055" s="101"/>
      <c r="I1055" s="101"/>
      <c r="J1055" s="101"/>
      <c r="K1055" s="101"/>
      <c r="L1055" s="101"/>
      <c r="M1055" s="101"/>
      <c r="N1055" s="101"/>
      <c r="O1055" s="101"/>
      <c r="P1055" s="101"/>
      <c r="Q1055" s="101"/>
      <c r="R1055" s="101"/>
      <c r="S1055" s="101"/>
      <c r="T1055" s="101"/>
      <c r="U1055" s="101"/>
      <c r="V1055" s="101"/>
      <c r="W1055" s="101"/>
      <c r="X1055" s="101"/>
      <c r="Y1055" s="101"/>
      <c r="Z1055" s="101"/>
      <c r="AA1055" s="101"/>
      <c r="AB1055" s="101"/>
      <c r="AC1055" s="101"/>
      <c r="AD1055" s="101"/>
      <c r="AE1055" s="101"/>
      <c r="AF1055" s="101"/>
      <c r="AG1055" s="101"/>
      <c r="AH1055" s="101"/>
      <c r="AI1055" s="101"/>
      <c r="AJ1055" s="101"/>
      <c r="AK1055" s="101"/>
      <c r="AL1055" s="101"/>
      <c r="AM1055" s="101"/>
      <c r="AN1055" s="101"/>
      <c r="AO1055" s="101"/>
    </row>
    <row r="1056" spans="1:41">
      <c r="A1056" s="115"/>
      <c r="B1056" s="116"/>
      <c r="C1056" s="117"/>
      <c r="D1056" s="116"/>
      <c r="E1056" s="101"/>
      <c r="F1056" s="101"/>
      <c r="G1056" s="101"/>
      <c r="H1056" s="101"/>
      <c r="I1056" s="101"/>
      <c r="J1056" s="101"/>
      <c r="K1056" s="101"/>
      <c r="L1056" s="101"/>
      <c r="M1056" s="101"/>
      <c r="N1056" s="101"/>
      <c r="O1056" s="101"/>
      <c r="P1056" s="101"/>
      <c r="Q1056" s="101"/>
      <c r="R1056" s="101"/>
      <c r="S1056" s="101"/>
      <c r="T1056" s="101"/>
      <c r="U1056" s="101"/>
      <c r="V1056" s="101"/>
      <c r="W1056" s="101"/>
      <c r="X1056" s="101"/>
      <c r="Y1056" s="101"/>
      <c r="Z1056" s="101"/>
      <c r="AA1056" s="101"/>
      <c r="AB1056" s="101"/>
      <c r="AC1056" s="101"/>
      <c r="AD1056" s="101"/>
      <c r="AE1056" s="101"/>
      <c r="AF1056" s="101"/>
      <c r="AG1056" s="101"/>
      <c r="AH1056" s="101"/>
      <c r="AI1056" s="101"/>
      <c r="AJ1056" s="101"/>
      <c r="AK1056" s="101"/>
      <c r="AL1056" s="101"/>
      <c r="AM1056" s="101"/>
      <c r="AN1056" s="101"/>
      <c r="AO1056" s="101"/>
    </row>
    <row r="1057" spans="1:41">
      <c r="A1057" s="115"/>
      <c r="B1057" s="116"/>
      <c r="C1057" s="117"/>
      <c r="D1057" s="116"/>
      <c r="E1057" s="101"/>
      <c r="F1057" s="101"/>
      <c r="G1057" s="101"/>
      <c r="H1057" s="101"/>
      <c r="I1057" s="101"/>
      <c r="J1057" s="101"/>
      <c r="K1057" s="101"/>
      <c r="L1057" s="101"/>
      <c r="M1057" s="101"/>
      <c r="N1057" s="101"/>
      <c r="O1057" s="101"/>
      <c r="P1057" s="101"/>
      <c r="Q1057" s="101"/>
      <c r="R1057" s="101"/>
      <c r="S1057" s="101"/>
      <c r="T1057" s="101"/>
      <c r="U1057" s="101"/>
      <c r="V1057" s="101"/>
      <c r="W1057" s="101"/>
      <c r="X1057" s="101"/>
      <c r="Y1057" s="101"/>
      <c r="Z1057" s="101"/>
      <c r="AA1057" s="101"/>
      <c r="AB1057" s="101"/>
      <c r="AC1057" s="101"/>
      <c r="AD1057" s="101"/>
      <c r="AE1057" s="101"/>
      <c r="AF1057" s="101"/>
      <c r="AG1057" s="101"/>
      <c r="AH1057" s="101"/>
      <c r="AI1057" s="101"/>
      <c r="AJ1057" s="101"/>
      <c r="AK1057" s="101"/>
      <c r="AL1057" s="101"/>
      <c r="AM1057" s="101"/>
      <c r="AN1057" s="101"/>
      <c r="AO1057" s="101"/>
    </row>
    <row r="1058" spans="1:41">
      <c r="A1058" s="115"/>
      <c r="B1058" s="116"/>
      <c r="C1058" s="117"/>
      <c r="D1058" s="116"/>
      <c r="E1058" s="101"/>
      <c r="F1058" s="101"/>
      <c r="G1058" s="101"/>
      <c r="H1058" s="101"/>
      <c r="I1058" s="101"/>
      <c r="J1058" s="101"/>
      <c r="K1058" s="101"/>
      <c r="L1058" s="101"/>
      <c r="M1058" s="101"/>
      <c r="N1058" s="101"/>
      <c r="O1058" s="101"/>
      <c r="P1058" s="101"/>
      <c r="Q1058" s="101"/>
      <c r="R1058" s="101"/>
      <c r="S1058" s="101"/>
      <c r="T1058" s="101"/>
      <c r="U1058" s="101"/>
      <c r="V1058" s="101"/>
      <c r="W1058" s="101"/>
      <c r="X1058" s="101"/>
      <c r="Y1058" s="101"/>
      <c r="Z1058" s="101"/>
      <c r="AA1058" s="101"/>
      <c r="AB1058" s="101"/>
      <c r="AC1058" s="101"/>
      <c r="AD1058" s="101"/>
      <c r="AE1058" s="101"/>
      <c r="AF1058" s="101"/>
      <c r="AG1058" s="101"/>
      <c r="AH1058" s="101"/>
      <c r="AI1058" s="101"/>
      <c r="AJ1058" s="101"/>
      <c r="AK1058" s="101"/>
      <c r="AL1058" s="101"/>
      <c r="AM1058" s="101"/>
      <c r="AN1058" s="101"/>
      <c r="AO1058" s="101"/>
    </row>
    <row r="1059" spans="1:41">
      <c r="A1059" s="115"/>
      <c r="B1059" s="116"/>
      <c r="C1059" s="117"/>
      <c r="D1059" s="116"/>
      <c r="E1059" s="101"/>
      <c r="F1059" s="101"/>
      <c r="G1059" s="101"/>
      <c r="H1059" s="101"/>
      <c r="I1059" s="101"/>
      <c r="J1059" s="101"/>
      <c r="K1059" s="101"/>
      <c r="L1059" s="101"/>
      <c r="M1059" s="101"/>
      <c r="N1059" s="101"/>
      <c r="O1059" s="101"/>
      <c r="P1059" s="101"/>
      <c r="Q1059" s="101"/>
      <c r="R1059" s="101"/>
      <c r="S1059" s="101"/>
      <c r="T1059" s="101"/>
      <c r="U1059" s="101"/>
      <c r="V1059" s="101"/>
      <c r="W1059" s="101"/>
      <c r="X1059" s="101"/>
      <c r="Y1059" s="101"/>
      <c r="Z1059" s="101"/>
      <c r="AA1059" s="101"/>
      <c r="AB1059" s="101"/>
      <c r="AC1059" s="101"/>
      <c r="AD1059" s="101"/>
      <c r="AE1059" s="101"/>
      <c r="AF1059" s="101"/>
      <c r="AG1059" s="101"/>
      <c r="AH1059" s="101"/>
      <c r="AI1059" s="101"/>
      <c r="AJ1059" s="101"/>
      <c r="AK1059" s="101"/>
      <c r="AL1059" s="101"/>
      <c r="AM1059" s="101"/>
      <c r="AN1059" s="101"/>
      <c r="AO1059" s="101"/>
    </row>
    <row r="1060" spans="1:41">
      <c r="A1060" s="115"/>
      <c r="B1060" s="116"/>
      <c r="C1060" s="117"/>
      <c r="D1060" s="116"/>
      <c r="E1060" s="101"/>
      <c r="F1060" s="101"/>
      <c r="G1060" s="101"/>
      <c r="H1060" s="101"/>
      <c r="I1060" s="101"/>
      <c r="J1060" s="101"/>
      <c r="K1060" s="101"/>
      <c r="L1060" s="101"/>
      <c r="M1060" s="101"/>
      <c r="N1060" s="101"/>
      <c r="O1060" s="101"/>
      <c r="P1060" s="101"/>
      <c r="Q1060" s="101"/>
      <c r="R1060" s="101"/>
      <c r="S1060" s="101"/>
      <c r="T1060" s="101"/>
      <c r="U1060" s="101"/>
      <c r="V1060" s="101"/>
      <c r="W1060" s="101"/>
      <c r="X1060" s="101"/>
      <c r="Y1060" s="101"/>
      <c r="Z1060" s="101"/>
      <c r="AA1060" s="101"/>
      <c r="AB1060" s="101"/>
      <c r="AC1060" s="101"/>
      <c r="AD1060" s="101"/>
      <c r="AE1060" s="101"/>
      <c r="AF1060" s="101"/>
      <c r="AG1060" s="101"/>
      <c r="AH1060" s="101"/>
      <c r="AI1060" s="101"/>
      <c r="AJ1060" s="101"/>
      <c r="AK1060" s="101"/>
      <c r="AL1060" s="101"/>
      <c r="AM1060" s="101"/>
      <c r="AN1060" s="101"/>
      <c r="AO1060" s="101"/>
    </row>
    <row r="1061" spans="1:41">
      <c r="A1061" s="115"/>
      <c r="B1061" s="116"/>
      <c r="C1061" s="117"/>
      <c r="D1061" s="116"/>
      <c r="E1061" s="101"/>
      <c r="F1061" s="101"/>
      <c r="G1061" s="101"/>
      <c r="H1061" s="101"/>
      <c r="I1061" s="101"/>
      <c r="J1061" s="101"/>
      <c r="K1061" s="101"/>
      <c r="L1061" s="101"/>
      <c r="M1061" s="101"/>
      <c r="N1061" s="101"/>
      <c r="O1061" s="101"/>
      <c r="P1061" s="101"/>
      <c r="Q1061" s="101"/>
      <c r="R1061" s="101"/>
      <c r="S1061" s="101"/>
      <c r="T1061" s="101"/>
      <c r="U1061" s="101"/>
      <c r="V1061" s="101"/>
      <c r="W1061" s="101"/>
      <c r="X1061" s="101"/>
      <c r="Y1061" s="101"/>
      <c r="Z1061" s="101"/>
      <c r="AA1061" s="101"/>
      <c r="AB1061" s="101"/>
      <c r="AC1061" s="101"/>
      <c r="AD1061" s="101"/>
      <c r="AE1061" s="101"/>
      <c r="AF1061" s="101"/>
      <c r="AG1061" s="101"/>
      <c r="AH1061" s="101"/>
      <c r="AI1061" s="101"/>
      <c r="AJ1061" s="101"/>
      <c r="AK1061" s="101"/>
      <c r="AL1061" s="101"/>
      <c r="AM1061" s="101"/>
      <c r="AN1061" s="101"/>
      <c r="AO1061" s="101"/>
    </row>
    <row r="1062" spans="1:41">
      <c r="A1062" s="115"/>
      <c r="B1062" s="116"/>
      <c r="C1062" s="117"/>
      <c r="D1062" s="116"/>
      <c r="E1062" s="101"/>
      <c r="F1062" s="101"/>
      <c r="G1062" s="101"/>
      <c r="H1062" s="101"/>
      <c r="I1062" s="101"/>
      <c r="J1062" s="101"/>
      <c r="K1062" s="101"/>
      <c r="L1062" s="101"/>
      <c r="M1062" s="101"/>
      <c r="N1062" s="101"/>
      <c r="O1062" s="101"/>
      <c r="P1062" s="101"/>
      <c r="Q1062" s="101"/>
      <c r="R1062" s="101"/>
      <c r="S1062" s="101"/>
      <c r="T1062" s="101"/>
      <c r="U1062" s="101"/>
      <c r="V1062" s="101"/>
      <c r="W1062" s="101"/>
      <c r="X1062" s="101"/>
      <c r="Y1062" s="101"/>
      <c r="Z1062" s="101"/>
      <c r="AA1062" s="101"/>
      <c r="AB1062" s="101"/>
      <c r="AC1062" s="101"/>
      <c r="AD1062" s="101"/>
      <c r="AE1062" s="101"/>
      <c r="AF1062" s="101"/>
      <c r="AG1062" s="101"/>
      <c r="AH1062" s="101"/>
      <c r="AI1062" s="101"/>
      <c r="AJ1062" s="101"/>
      <c r="AK1062" s="101"/>
      <c r="AL1062" s="101"/>
      <c r="AM1062" s="101"/>
      <c r="AN1062" s="101"/>
      <c r="AO1062" s="101"/>
    </row>
    <row r="1063" spans="1:41">
      <c r="A1063" s="115"/>
      <c r="B1063" s="116"/>
      <c r="C1063" s="117"/>
      <c r="D1063" s="116"/>
      <c r="E1063" s="101"/>
      <c r="F1063" s="101"/>
      <c r="G1063" s="101"/>
      <c r="H1063" s="101"/>
      <c r="I1063" s="101"/>
      <c r="J1063" s="101"/>
      <c r="K1063" s="101"/>
      <c r="L1063" s="101"/>
      <c r="M1063" s="101"/>
      <c r="N1063" s="101"/>
      <c r="O1063" s="101"/>
      <c r="P1063" s="101"/>
      <c r="Q1063" s="101"/>
      <c r="R1063" s="101"/>
      <c r="S1063" s="101"/>
      <c r="T1063" s="101"/>
      <c r="U1063" s="101"/>
      <c r="V1063" s="101"/>
      <c r="W1063" s="101"/>
      <c r="X1063" s="101"/>
      <c r="Y1063" s="101"/>
      <c r="Z1063" s="101"/>
      <c r="AA1063" s="101"/>
      <c r="AB1063" s="101"/>
      <c r="AC1063" s="101"/>
      <c r="AD1063" s="101"/>
      <c r="AE1063" s="101"/>
      <c r="AF1063" s="101"/>
      <c r="AG1063" s="101"/>
      <c r="AH1063" s="101"/>
      <c r="AI1063" s="101"/>
      <c r="AJ1063" s="101"/>
      <c r="AK1063" s="101"/>
      <c r="AL1063" s="101"/>
      <c r="AM1063" s="101"/>
      <c r="AN1063" s="101"/>
      <c r="AO1063" s="101"/>
    </row>
    <row r="1064" spans="1:41">
      <c r="A1064" s="115"/>
      <c r="B1064" s="116"/>
      <c r="C1064" s="117"/>
      <c r="D1064" s="116"/>
      <c r="E1064" s="101"/>
      <c r="F1064" s="101"/>
      <c r="G1064" s="101"/>
      <c r="H1064" s="101"/>
      <c r="I1064" s="101"/>
      <c r="J1064" s="101"/>
      <c r="K1064" s="101"/>
      <c r="L1064" s="101"/>
      <c r="M1064" s="101"/>
      <c r="N1064" s="101"/>
      <c r="O1064" s="101"/>
      <c r="P1064" s="101"/>
      <c r="Q1064" s="101"/>
      <c r="R1064" s="101"/>
      <c r="S1064" s="101"/>
      <c r="T1064" s="101"/>
      <c r="U1064" s="101"/>
      <c r="V1064" s="101"/>
      <c r="W1064" s="101"/>
      <c r="X1064" s="101"/>
      <c r="Y1064" s="101"/>
      <c r="Z1064" s="101"/>
      <c r="AA1064" s="101"/>
      <c r="AB1064" s="101"/>
      <c r="AC1064" s="101"/>
      <c r="AD1064" s="101"/>
      <c r="AE1064" s="101"/>
      <c r="AF1064" s="101"/>
      <c r="AG1064" s="101"/>
      <c r="AH1064" s="101"/>
      <c r="AI1064" s="101"/>
      <c r="AJ1064" s="101"/>
      <c r="AK1064" s="101"/>
      <c r="AL1064" s="101"/>
      <c r="AM1064" s="101"/>
      <c r="AN1064" s="101"/>
      <c r="AO1064" s="101"/>
    </row>
    <row r="1065" spans="1:41">
      <c r="A1065" s="115"/>
      <c r="B1065" s="116"/>
      <c r="C1065" s="117"/>
      <c r="D1065" s="116"/>
      <c r="E1065" s="101"/>
      <c r="F1065" s="101"/>
      <c r="G1065" s="101"/>
      <c r="H1065" s="101"/>
      <c r="I1065" s="101"/>
      <c r="J1065" s="101"/>
      <c r="K1065" s="101"/>
      <c r="L1065" s="101"/>
      <c r="M1065" s="101"/>
      <c r="N1065" s="101"/>
      <c r="O1065" s="101"/>
      <c r="P1065" s="101"/>
      <c r="Q1065" s="101"/>
      <c r="R1065" s="101"/>
      <c r="S1065" s="101"/>
      <c r="T1065" s="101"/>
      <c r="U1065" s="101"/>
      <c r="V1065" s="101"/>
      <c r="W1065" s="101"/>
      <c r="X1065" s="101"/>
      <c r="Y1065" s="101"/>
      <c r="Z1065" s="101"/>
      <c r="AA1065" s="101"/>
      <c r="AB1065" s="101"/>
      <c r="AC1065" s="101"/>
      <c r="AD1065" s="101"/>
      <c r="AE1065" s="101"/>
      <c r="AF1065" s="101"/>
      <c r="AG1065" s="101"/>
      <c r="AH1065" s="101"/>
      <c r="AI1065" s="101"/>
      <c r="AJ1065" s="101"/>
      <c r="AK1065" s="101"/>
      <c r="AL1065" s="101"/>
      <c r="AM1065" s="101"/>
      <c r="AN1065" s="101"/>
      <c r="AO1065" s="101"/>
    </row>
    <row r="1066" spans="1:41">
      <c r="A1066" s="115"/>
      <c r="B1066" s="116"/>
      <c r="C1066" s="117"/>
      <c r="D1066" s="116"/>
      <c r="E1066" s="101"/>
      <c r="F1066" s="101"/>
      <c r="G1066" s="101"/>
      <c r="H1066" s="101"/>
      <c r="I1066" s="101"/>
      <c r="J1066" s="101"/>
      <c r="K1066" s="101"/>
      <c r="L1066" s="101"/>
      <c r="M1066" s="101"/>
      <c r="N1066" s="101"/>
      <c r="O1066" s="101"/>
      <c r="P1066" s="101"/>
      <c r="Q1066" s="101"/>
      <c r="R1066" s="101"/>
      <c r="S1066" s="101"/>
      <c r="T1066" s="101"/>
      <c r="U1066" s="101"/>
      <c r="V1066" s="101"/>
      <c r="W1066" s="101"/>
      <c r="X1066" s="101"/>
      <c r="Y1066" s="101"/>
      <c r="Z1066" s="101"/>
      <c r="AA1066" s="101"/>
      <c r="AB1066" s="101"/>
      <c r="AC1066" s="101"/>
      <c r="AD1066" s="101"/>
      <c r="AE1066" s="101"/>
      <c r="AF1066" s="101"/>
      <c r="AG1066" s="101"/>
      <c r="AH1066" s="101"/>
      <c r="AI1066" s="101"/>
      <c r="AJ1066" s="101"/>
      <c r="AK1066" s="101"/>
      <c r="AL1066" s="101"/>
      <c r="AM1066" s="101"/>
      <c r="AN1066" s="101"/>
      <c r="AO1066" s="101"/>
    </row>
    <row r="1067" spans="1:41">
      <c r="A1067" s="115"/>
      <c r="B1067" s="116"/>
      <c r="C1067" s="117"/>
      <c r="D1067" s="116"/>
      <c r="E1067" s="101"/>
      <c r="F1067" s="101"/>
      <c r="G1067" s="101"/>
      <c r="H1067" s="101"/>
      <c r="I1067" s="101"/>
      <c r="J1067" s="101"/>
      <c r="K1067" s="101"/>
      <c r="L1067" s="101"/>
      <c r="M1067" s="101"/>
      <c r="N1067" s="101"/>
      <c r="O1067" s="101"/>
      <c r="P1067" s="101"/>
      <c r="Q1067" s="101"/>
      <c r="R1067" s="101"/>
      <c r="S1067" s="101"/>
      <c r="T1067" s="101"/>
      <c r="U1067" s="101"/>
      <c r="V1067" s="101"/>
      <c r="W1067" s="101"/>
      <c r="X1067" s="101"/>
      <c r="Y1067" s="101"/>
      <c r="Z1067" s="101"/>
      <c r="AA1067" s="101"/>
      <c r="AB1067" s="101"/>
      <c r="AC1067" s="101"/>
      <c r="AD1067" s="101"/>
      <c r="AE1067" s="101"/>
      <c r="AF1067" s="101"/>
      <c r="AG1067" s="101"/>
      <c r="AH1067" s="101"/>
      <c r="AI1067" s="101"/>
      <c r="AJ1067" s="101"/>
      <c r="AK1067" s="101"/>
      <c r="AL1067" s="101"/>
      <c r="AM1067" s="101"/>
      <c r="AN1067" s="101"/>
      <c r="AO1067" s="101"/>
    </row>
    <row r="1068" spans="1:41">
      <c r="A1068" s="115"/>
      <c r="B1068" s="116"/>
      <c r="C1068" s="117"/>
      <c r="D1068" s="116"/>
      <c r="E1068" s="101"/>
      <c r="F1068" s="101"/>
      <c r="G1068" s="101"/>
      <c r="H1068" s="101"/>
      <c r="I1068" s="101"/>
      <c r="J1068" s="101"/>
      <c r="K1068" s="101"/>
      <c r="L1068" s="101"/>
      <c r="M1068" s="101"/>
      <c r="N1068" s="101"/>
      <c r="O1068" s="101"/>
      <c r="P1068" s="101"/>
      <c r="Q1068" s="101"/>
      <c r="R1068" s="101"/>
      <c r="S1068" s="101"/>
      <c r="T1068" s="101"/>
      <c r="U1068" s="101"/>
      <c r="V1068" s="101"/>
      <c r="W1068" s="101"/>
      <c r="X1068" s="101"/>
      <c r="Y1068" s="101"/>
      <c r="Z1068" s="101"/>
      <c r="AA1068" s="101"/>
      <c r="AB1068" s="101"/>
      <c r="AC1068" s="101"/>
      <c r="AD1068" s="101"/>
      <c r="AE1068" s="101"/>
      <c r="AF1068" s="101"/>
      <c r="AG1068" s="101"/>
      <c r="AH1068" s="101"/>
      <c r="AI1068" s="101"/>
      <c r="AJ1068" s="101"/>
      <c r="AK1068" s="101"/>
      <c r="AL1068" s="101"/>
      <c r="AM1068" s="101"/>
      <c r="AN1068" s="101"/>
      <c r="AO1068" s="101"/>
    </row>
    <row r="1069" spans="1:41">
      <c r="A1069" s="115"/>
      <c r="B1069" s="116"/>
      <c r="C1069" s="117"/>
      <c r="D1069" s="116"/>
      <c r="E1069" s="101"/>
      <c r="F1069" s="101"/>
      <c r="G1069" s="101"/>
      <c r="H1069" s="101"/>
      <c r="I1069" s="101"/>
      <c r="J1069" s="101"/>
      <c r="K1069" s="101"/>
      <c r="L1069" s="101"/>
      <c r="M1069" s="101"/>
      <c r="N1069" s="101"/>
      <c r="O1069" s="101"/>
      <c r="P1069" s="101"/>
      <c r="Q1069" s="101"/>
      <c r="R1069" s="101"/>
      <c r="S1069" s="101"/>
      <c r="T1069" s="101"/>
      <c r="U1069" s="101"/>
      <c r="V1069" s="101"/>
      <c r="W1069" s="101"/>
      <c r="X1069" s="101"/>
      <c r="Y1069" s="101"/>
      <c r="Z1069" s="101"/>
      <c r="AA1069" s="101"/>
      <c r="AB1069" s="101"/>
      <c r="AC1069" s="101"/>
      <c r="AD1069" s="101"/>
      <c r="AE1069" s="101"/>
      <c r="AF1069" s="101"/>
      <c r="AG1069" s="101"/>
      <c r="AH1069" s="101"/>
      <c r="AI1069" s="101"/>
      <c r="AJ1069" s="101"/>
      <c r="AK1069" s="101"/>
      <c r="AL1069" s="101"/>
      <c r="AM1069" s="101"/>
      <c r="AN1069" s="101"/>
      <c r="AO1069" s="101"/>
    </row>
    <row r="1070" spans="1:41">
      <c r="A1070" s="115"/>
      <c r="B1070" s="116"/>
      <c r="C1070" s="117"/>
      <c r="D1070" s="116"/>
      <c r="E1070" s="101"/>
      <c r="F1070" s="101"/>
      <c r="G1070" s="101"/>
      <c r="H1070" s="101"/>
      <c r="I1070" s="101"/>
      <c r="J1070" s="101"/>
      <c r="K1070" s="101"/>
      <c r="L1070" s="101"/>
      <c r="M1070" s="101"/>
      <c r="N1070" s="101"/>
      <c r="O1070" s="101"/>
      <c r="P1070" s="101"/>
      <c r="Q1070" s="101"/>
      <c r="R1070" s="101"/>
      <c r="S1070" s="101"/>
      <c r="T1070" s="101"/>
      <c r="U1070" s="101"/>
      <c r="V1070" s="101"/>
      <c r="W1070" s="101"/>
      <c r="X1070" s="101"/>
      <c r="Y1070" s="101"/>
      <c r="Z1070" s="101"/>
      <c r="AA1070" s="101"/>
      <c r="AB1070" s="101"/>
      <c r="AC1070" s="101"/>
      <c r="AD1070" s="101"/>
      <c r="AE1070" s="101"/>
      <c r="AF1070" s="101"/>
      <c r="AG1070" s="101"/>
      <c r="AH1070" s="101"/>
      <c r="AI1070" s="101"/>
      <c r="AJ1070" s="101"/>
      <c r="AK1070" s="101"/>
      <c r="AL1070" s="101"/>
      <c r="AM1070" s="101"/>
      <c r="AN1070" s="101"/>
      <c r="AO1070" s="101"/>
    </row>
    <row r="1071" spans="1:41">
      <c r="A1071" s="115"/>
      <c r="B1071" s="116"/>
      <c r="C1071" s="117"/>
      <c r="D1071" s="116"/>
      <c r="E1071" s="101"/>
      <c r="F1071" s="101"/>
      <c r="G1071" s="101"/>
      <c r="H1071" s="101"/>
      <c r="I1071" s="101"/>
      <c r="J1071" s="101"/>
      <c r="K1071" s="101"/>
      <c r="L1071" s="101"/>
      <c r="M1071" s="101"/>
      <c r="N1071" s="101"/>
      <c r="O1071" s="101"/>
      <c r="P1071" s="101"/>
      <c r="Q1071" s="101"/>
      <c r="R1071" s="101"/>
      <c r="S1071" s="101"/>
      <c r="T1071" s="101"/>
      <c r="U1071" s="101"/>
      <c r="V1071" s="101"/>
      <c r="W1071" s="101"/>
      <c r="X1071" s="101"/>
      <c r="Y1071" s="101"/>
      <c r="Z1071" s="101"/>
      <c r="AA1071" s="101"/>
      <c r="AB1071" s="101"/>
      <c r="AC1071" s="101"/>
      <c r="AD1071" s="101"/>
      <c r="AE1071" s="101"/>
      <c r="AF1071" s="101"/>
      <c r="AG1071" s="101"/>
      <c r="AH1071" s="101"/>
      <c r="AI1071" s="101"/>
      <c r="AJ1071" s="101"/>
      <c r="AK1071" s="101"/>
      <c r="AL1071" s="101"/>
      <c r="AM1071" s="101"/>
      <c r="AN1071" s="101"/>
      <c r="AO1071" s="101"/>
    </row>
    <row r="1072" spans="1:41">
      <c r="A1072" s="115"/>
      <c r="B1072" s="116"/>
      <c r="C1072" s="117"/>
      <c r="D1072" s="116"/>
      <c r="E1072" s="101"/>
      <c r="F1072" s="101"/>
      <c r="G1072" s="101"/>
      <c r="H1072" s="101"/>
      <c r="I1072" s="101"/>
      <c r="J1072" s="101"/>
      <c r="K1072" s="101"/>
      <c r="L1072" s="101"/>
      <c r="M1072" s="101"/>
      <c r="N1072" s="101"/>
      <c r="O1072" s="101"/>
      <c r="P1072" s="101"/>
      <c r="Q1072" s="101"/>
      <c r="R1072" s="101"/>
      <c r="S1072" s="101"/>
      <c r="T1072" s="101"/>
      <c r="U1072" s="101"/>
      <c r="V1072" s="101"/>
      <c r="W1072" s="101"/>
      <c r="X1072" s="101"/>
      <c r="Y1072" s="101"/>
      <c r="Z1072" s="101"/>
      <c r="AA1072" s="101"/>
      <c r="AB1072" s="101"/>
      <c r="AC1072" s="101"/>
      <c r="AD1072" s="101"/>
      <c r="AE1072" s="101"/>
      <c r="AF1072" s="101"/>
      <c r="AG1072" s="101"/>
      <c r="AH1072" s="101"/>
      <c r="AI1072" s="101"/>
      <c r="AJ1072" s="101"/>
      <c r="AK1072" s="101"/>
      <c r="AL1072" s="101"/>
      <c r="AM1072" s="101"/>
      <c r="AN1072" s="101"/>
      <c r="AO1072" s="101"/>
    </row>
    <row r="1073" spans="1:41">
      <c r="A1073" s="115"/>
      <c r="B1073" s="116"/>
      <c r="C1073" s="117"/>
      <c r="D1073" s="116"/>
      <c r="E1073" s="101"/>
      <c r="F1073" s="101"/>
      <c r="G1073" s="101"/>
      <c r="H1073" s="101"/>
      <c r="I1073" s="101"/>
      <c r="J1073" s="101"/>
      <c r="K1073" s="101"/>
      <c r="L1073" s="101"/>
      <c r="M1073" s="101"/>
      <c r="N1073" s="101"/>
      <c r="O1073" s="101"/>
      <c r="P1073" s="101"/>
      <c r="Q1073" s="101"/>
      <c r="R1073" s="101"/>
      <c r="S1073" s="101"/>
      <c r="T1073" s="101"/>
      <c r="U1073" s="101"/>
      <c r="V1073" s="101"/>
      <c r="W1073" s="101"/>
      <c r="X1073" s="101"/>
      <c r="Y1073" s="101"/>
      <c r="Z1073" s="101"/>
      <c r="AA1073" s="101"/>
      <c r="AB1073" s="101"/>
      <c r="AC1073" s="101"/>
      <c r="AD1073" s="101"/>
      <c r="AE1073" s="101"/>
      <c r="AF1073" s="101"/>
      <c r="AG1073" s="101"/>
      <c r="AH1073" s="101"/>
      <c r="AI1073" s="101"/>
      <c r="AJ1073" s="101"/>
      <c r="AK1073" s="101"/>
      <c r="AL1073" s="101"/>
      <c r="AM1073" s="101"/>
      <c r="AN1073" s="101"/>
      <c r="AO1073" s="101"/>
    </row>
    <row r="1074" spans="1:41">
      <c r="A1074" s="115"/>
      <c r="B1074" s="116"/>
      <c r="C1074" s="117"/>
      <c r="D1074" s="116"/>
      <c r="E1074" s="101"/>
      <c r="F1074" s="101"/>
      <c r="G1074" s="101"/>
      <c r="H1074" s="101"/>
      <c r="I1074" s="101"/>
      <c r="J1074" s="101"/>
      <c r="K1074" s="101"/>
      <c r="L1074" s="101"/>
      <c r="M1074" s="101"/>
      <c r="N1074" s="101"/>
      <c r="O1074" s="101"/>
      <c r="P1074" s="101"/>
      <c r="Q1074" s="101"/>
      <c r="R1074" s="101"/>
      <c r="S1074" s="101"/>
      <c r="T1074" s="101"/>
      <c r="U1074" s="101"/>
      <c r="V1074" s="101"/>
      <c r="W1074" s="101"/>
      <c r="X1074" s="101"/>
      <c r="Y1074" s="101"/>
      <c r="Z1074" s="101"/>
      <c r="AA1074" s="101"/>
      <c r="AB1074" s="101"/>
      <c r="AC1074" s="101"/>
      <c r="AD1074" s="101"/>
      <c r="AE1074" s="101"/>
      <c r="AF1074" s="101"/>
      <c r="AG1074" s="101"/>
      <c r="AH1074" s="101"/>
      <c r="AI1074" s="101"/>
      <c r="AJ1074" s="101"/>
      <c r="AK1074" s="101"/>
      <c r="AL1074" s="101"/>
      <c r="AM1074" s="101"/>
      <c r="AN1074" s="101"/>
      <c r="AO1074" s="101"/>
    </row>
    <row r="1075" spans="1:41">
      <c r="A1075" s="115"/>
      <c r="B1075" s="116"/>
      <c r="C1075" s="117"/>
      <c r="D1075" s="116"/>
      <c r="E1075" s="101"/>
      <c r="F1075" s="101"/>
      <c r="G1075" s="101"/>
      <c r="H1075" s="101"/>
      <c r="I1075" s="101"/>
      <c r="J1075" s="101"/>
      <c r="K1075" s="101"/>
      <c r="L1075" s="101"/>
      <c r="M1075" s="101"/>
      <c r="N1075" s="101"/>
      <c r="O1075" s="101"/>
      <c r="P1075" s="101"/>
      <c r="Q1075" s="101"/>
      <c r="R1075" s="101"/>
      <c r="S1075" s="101"/>
      <c r="T1075" s="101"/>
      <c r="U1075" s="101"/>
      <c r="V1075" s="101"/>
      <c r="W1075" s="101"/>
      <c r="X1075" s="101"/>
      <c r="Y1075" s="101"/>
      <c r="Z1075" s="101"/>
      <c r="AA1075" s="101"/>
      <c r="AB1075" s="101"/>
      <c r="AC1075" s="101"/>
      <c r="AD1075" s="101"/>
      <c r="AE1075" s="101"/>
      <c r="AF1075" s="101"/>
      <c r="AG1075" s="101"/>
      <c r="AH1075" s="101"/>
      <c r="AI1075" s="101"/>
      <c r="AJ1075" s="101"/>
      <c r="AK1075" s="101"/>
      <c r="AL1075" s="101"/>
      <c r="AM1075" s="101"/>
      <c r="AN1075" s="101"/>
      <c r="AO1075" s="101"/>
    </row>
    <row r="1076" spans="1:41">
      <c r="A1076" s="115"/>
      <c r="B1076" s="116"/>
      <c r="C1076" s="117"/>
      <c r="D1076" s="116"/>
      <c r="E1076" s="101"/>
      <c r="F1076" s="101"/>
      <c r="G1076" s="101"/>
      <c r="H1076" s="101"/>
      <c r="I1076" s="101"/>
      <c r="J1076" s="101"/>
      <c r="K1076" s="101"/>
      <c r="L1076" s="101"/>
      <c r="M1076" s="101"/>
      <c r="N1076" s="101"/>
      <c r="O1076" s="101"/>
      <c r="P1076" s="101"/>
      <c r="Q1076" s="101"/>
      <c r="R1076" s="101"/>
      <c r="S1076" s="101"/>
      <c r="T1076" s="101"/>
      <c r="U1076" s="101"/>
      <c r="V1076" s="101"/>
      <c r="W1076" s="101"/>
      <c r="X1076" s="101"/>
      <c r="Y1076" s="101"/>
      <c r="Z1076" s="101"/>
      <c r="AA1076" s="101"/>
      <c r="AB1076" s="101"/>
      <c r="AC1076" s="101"/>
      <c r="AD1076" s="101"/>
      <c r="AE1076" s="101"/>
      <c r="AF1076" s="101"/>
      <c r="AG1076" s="101"/>
      <c r="AH1076" s="101"/>
      <c r="AI1076" s="101"/>
      <c r="AJ1076" s="101"/>
      <c r="AK1076" s="101"/>
      <c r="AL1076" s="101"/>
      <c r="AM1076" s="101"/>
      <c r="AN1076" s="101"/>
      <c r="AO1076" s="101"/>
    </row>
    <row r="1077" spans="1:41">
      <c r="A1077" s="115"/>
      <c r="B1077" s="116"/>
      <c r="C1077" s="117"/>
      <c r="D1077" s="116"/>
      <c r="E1077" s="101"/>
      <c r="F1077" s="101"/>
      <c r="G1077" s="101"/>
      <c r="H1077" s="101"/>
      <c r="I1077" s="101"/>
      <c r="J1077" s="101"/>
      <c r="K1077" s="101"/>
      <c r="L1077" s="101"/>
      <c r="M1077" s="101"/>
      <c r="N1077" s="101"/>
      <c r="O1077" s="101"/>
      <c r="P1077" s="101"/>
      <c r="Q1077" s="101"/>
      <c r="R1077" s="101"/>
      <c r="S1077" s="101"/>
      <c r="T1077" s="101"/>
      <c r="U1077" s="101"/>
      <c r="V1077" s="101"/>
      <c r="W1077" s="101"/>
      <c r="X1077" s="101"/>
      <c r="Y1077" s="101"/>
      <c r="Z1077" s="101"/>
      <c r="AA1077" s="101"/>
      <c r="AB1077" s="101"/>
      <c r="AC1077" s="101"/>
      <c r="AD1077" s="101"/>
      <c r="AE1077" s="101"/>
      <c r="AF1077" s="101"/>
      <c r="AG1077" s="101"/>
      <c r="AH1077" s="101"/>
      <c r="AI1077" s="101"/>
      <c r="AJ1077" s="101"/>
      <c r="AK1077" s="101"/>
      <c r="AL1077" s="101"/>
      <c r="AM1077" s="101"/>
      <c r="AN1077" s="101"/>
      <c r="AO1077" s="101"/>
    </row>
    <row r="1078" spans="1:41">
      <c r="A1078" s="115"/>
      <c r="B1078" s="116"/>
      <c r="C1078" s="117"/>
      <c r="D1078" s="116"/>
      <c r="E1078" s="101"/>
      <c r="F1078" s="101"/>
      <c r="G1078" s="101"/>
      <c r="H1078" s="101"/>
      <c r="I1078" s="101"/>
      <c r="J1078" s="101"/>
      <c r="K1078" s="101"/>
      <c r="L1078" s="101"/>
      <c r="M1078" s="101"/>
      <c r="N1078" s="101"/>
      <c r="O1078" s="101"/>
      <c r="P1078" s="101"/>
      <c r="Q1078" s="101"/>
      <c r="R1078" s="101"/>
      <c r="S1078" s="101"/>
      <c r="T1078" s="101"/>
      <c r="U1078" s="101"/>
      <c r="V1078" s="101"/>
      <c r="W1078" s="101"/>
      <c r="X1078" s="101"/>
      <c r="Y1078" s="101"/>
      <c r="Z1078" s="101"/>
      <c r="AA1078" s="101"/>
      <c r="AB1078" s="101"/>
      <c r="AC1078" s="101"/>
      <c r="AD1078" s="101"/>
      <c r="AE1078" s="101"/>
      <c r="AF1078" s="101"/>
      <c r="AG1078" s="101"/>
      <c r="AH1078" s="101"/>
      <c r="AI1078" s="101"/>
      <c r="AJ1078" s="101"/>
      <c r="AK1078" s="101"/>
      <c r="AL1078" s="101"/>
      <c r="AM1078" s="101"/>
      <c r="AN1078" s="101"/>
      <c r="AO1078" s="101"/>
    </row>
    <row r="1079" spans="1:41">
      <c r="A1079" s="115"/>
      <c r="B1079" s="116"/>
      <c r="C1079" s="117"/>
      <c r="D1079" s="116"/>
      <c r="E1079" s="101"/>
      <c r="F1079" s="101"/>
      <c r="G1079" s="101"/>
      <c r="H1079" s="101"/>
      <c r="I1079" s="101"/>
      <c r="J1079" s="101"/>
      <c r="K1079" s="101"/>
      <c r="L1079" s="101"/>
      <c r="M1079" s="101"/>
      <c r="N1079" s="101"/>
      <c r="O1079" s="101"/>
      <c r="P1079" s="101"/>
      <c r="Q1079" s="101"/>
      <c r="R1079" s="101"/>
      <c r="S1079" s="101"/>
      <c r="T1079" s="101"/>
      <c r="U1079" s="101"/>
      <c r="V1079" s="101"/>
      <c r="W1079" s="101"/>
      <c r="X1079" s="101"/>
      <c r="Y1079" s="101"/>
      <c r="Z1079" s="101"/>
      <c r="AA1079" s="101"/>
      <c r="AB1079" s="101"/>
      <c r="AC1079" s="101"/>
      <c r="AD1079" s="101"/>
      <c r="AE1079" s="101"/>
      <c r="AF1079" s="101"/>
      <c r="AG1079" s="101"/>
      <c r="AH1079" s="101"/>
      <c r="AI1079" s="101"/>
      <c r="AJ1079" s="101"/>
      <c r="AK1079" s="101"/>
      <c r="AL1079" s="101"/>
      <c r="AM1079" s="101"/>
      <c r="AN1079" s="101"/>
      <c r="AO1079" s="101"/>
    </row>
    <row r="1080" spans="1:41">
      <c r="A1080" s="115"/>
      <c r="B1080" s="116"/>
      <c r="C1080" s="117"/>
      <c r="D1080" s="116"/>
      <c r="E1080" s="101"/>
      <c r="F1080" s="101"/>
      <c r="G1080" s="101"/>
      <c r="H1080" s="101"/>
      <c r="I1080" s="101"/>
      <c r="J1080" s="101"/>
      <c r="K1080" s="101"/>
      <c r="L1080" s="101"/>
      <c r="M1080" s="101"/>
      <c r="N1080" s="101"/>
      <c r="O1080" s="101"/>
      <c r="P1080" s="101"/>
      <c r="Q1080" s="101"/>
      <c r="R1080" s="101"/>
      <c r="S1080" s="101"/>
      <c r="T1080" s="101"/>
      <c r="U1080" s="101"/>
      <c r="V1080" s="101"/>
      <c r="W1080" s="101"/>
      <c r="X1080" s="101"/>
      <c r="Y1080" s="101"/>
      <c r="Z1080" s="101"/>
      <c r="AA1080" s="101"/>
      <c r="AB1080" s="101"/>
      <c r="AC1080" s="101"/>
      <c r="AD1080" s="101"/>
      <c r="AE1080" s="101"/>
      <c r="AF1080" s="101"/>
      <c r="AG1080" s="101"/>
      <c r="AH1080" s="101"/>
      <c r="AI1080" s="101"/>
      <c r="AJ1080" s="101"/>
      <c r="AK1080" s="101"/>
      <c r="AL1080" s="101"/>
      <c r="AM1080" s="101"/>
      <c r="AN1080" s="101"/>
      <c r="AO1080" s="101"/>
    </row>
  </sheetData>
  <sheetProtection sheet="1" objects="1" scenarios="1" selectLockedCells="1"/>
  <mergeCells count="42">
    <mergeCell ref="H21:I21"/>
    <mergeCell ref="J21:K21"/>
    <mergeCell ref="F19:G19"/>
    <mergeCell ref="F20:G20"/>
    <mergeCell ref="F21:G21"/>
    <mergeCell ref="H19:I19"/>
    <mergeCell ref="H20:I20"/>
    <mergeCell ref="F13:G13"/>
    <mergeCell ref="F15:G15"/>
    <mergeCell ref="F16:G16"/>
    <mergeCell ref="F18:G18"/>
    <mergeCell ref="F14:G14"/>
    <mergeCell ref="C2:D2"/>
    <mergeCell ref="H9:K9"/>
    <mergeCell ref="H12:K12"/>
    <mergeCell ref="H5:K5"/>
    <mergeCell ref="H7:K7"/>
    <mergeCell ref="H6:K6"/>
    <mergeCell ref="F9:G9"/>
    <mergeCell ref="F10:G10"/>
    <mergeCell ref="F11:G11"/>
    <mergeCell ref="F12:G12"/>
    <mergeCell ref="H10:K10"/>
    <mergeCell ref="H11:K11"/>
    <mergeCell ref="J18:K18"/>
    <mergeCell ref="J19:K19"/>
    <mergeCell ref="J20:K20"/>
    <mergeCell ref="H14:K14"/>
    <mergeCell ref="H13:K13"/>
    <mergeCell ref="J16:K16"/>
    <mergeCell ref="H16:I16"/>
    <mergeCell ref="H18:I18"/>
    <mergeCell ref="J15:K15"/>
    <mergeCell ref="H15:I15"/>
    <mergeCell ref="F26:K30"/>
    <mergeCell ref="J22:K22"/>
    <mergeCell ref="H22:I22"/>
    <mergeCell ref="F23:G23"/>
    <mergeCell ref="F25:G25"/>
    <mergeCell ref="J23:K23"/>
    <mergeCell ref="H23:I23"/>
    <mergeCell ref="F22:G22"/>
  </mergeCells>
  <phoneticPr fontId="2" type="noConversion"/>
  <pageMargins left="0.75" right="0.75" top="1" bottom="1" header="0.5" footer="0.5"/>
  <pageSetup paperSize="9" scale="96" orientation="landscape" horizontalDpi="300" verticalDpi="300" r:id="rId1"/>
  <headerFooter alignWithMargins="0"/>
  <drawing r:id="rId2"/>
  <legacyDrawing r:id="rId3"/>
  <controls>
    <control shapeId="3075" r:id="rId4" name="MenuButton"/>
    <control shapeId="3076" r:id="rId5" name="ResetButton"/>
    <control shapeId="3079" r:id="rId6" name="SaveClean"/>
    <control shapeId="3082" r:id="rId7" name="SpinButton1"/>
    <control shapeId="3084" r:id="rId8" name="TextBox1"/>
    <control shapeId="3086" r:id="rId9" name="GoToButton1"/>
    <control shapeId="3087" r:id="rId10" name="CleanNoTextBox"/>
    <control shapeId="3088" r:id="rId11" name="NewClean"/>
  </controls>
</worksheet>
</file>

<file path=xl/worksheets/sheet2.xml><?xml version="1.0" encoding="utf-8"?>
<worksheet xmlns="http://schemas.openxmlformats.org/spreadsheetml/2006/main" xmlns:r="http://schemas.openxmlformats.org/officeDocument/2006/relationships">
  <sheetPr codeName="Sheet5"/>
  <dimension ref="A1:K48"/>
  <sheetViews>
    <sheetView showGridLines="0" topLeftCell="A13" zoomScale="90" workbookViewId="0">
      <selection activeCell="M12" sqref="M12"/>
    </sheetView>
  </sheetViews>
  <sheetFormatPr defaultColWidth="8" defaultRowHeight="15.75"/>
  <cols>
    <col min="1" max="1" width="2.625" style="95" customWidth="1"/>
    <col min="2" max="2" width="9.25" style="95" customWidth="1"/>
    <col min="3" max="3" width="10.625" style="95" customWidth="1"/>
    <col min="4" max="4" width="8.25" style="95" customWidth="1"/>
    <col min="5" max="5" width="13.625" style="95" customWidth="1"/>
    <col min="6" max="6" width="4.875" style="95" customWidth="1"/>
    <col min="7" max="7" width="9.875" style="95" customWidth="1"/>
    <col min="8" max="8" width="9.625" style="95" customWidth="1"/>
    <col min="9" max="9" width="10.125" style="95" customWidth="1"/>
    <col min="10" max="10" width="2.125" style="95" customWidth="1"/>
    <col min="11" max="16384" width="8" style="95"/>
  </cols>
  <sheetData>
    <row r="1" spans="1:10" ht="21.75" customHeight="1">
      <c r="A1" s="161"/>
      <c r="B1" s="162"/>
      <c r="C1" s="162"/>
      <c r="D1" s="162"/>
      <c r="E1" s="162"/>
      <c r="F1" s="162"/>
      <c r="G1" s="162"/>
      <c r="H1" s="162"/>
      <c r="I1" s="162"/>
    </row>
    <row r="2" spans="1:10" ht="33.75">
      <c r="B2" s="289" t="str">
        <f>Data!E2</f>
        <v>Toytown Dairies</v>
      </c>
      <c r="C2" s="289"/>
      <c r="D2" s="289"/>
      <c r="E2" s="289"/>
      <c r="F2" s="289"/>
      <c r="G2" s="289"/>
      <c r="H2" s="289"/>
      <c r="I2" s="289"/>
    </row>
    <row r="3" spans="1:10">
      <c r="B3" s="162"/>
      <c r="C3" s="162"/>
      <c r="D3" s="162"/>
      <c r="E3" s="162"/>
      <c r="F3" s="162"/>
      <c r="G3" s="162"/>
      <c r="H3" s="162"/>
      <c r="I3" s="162"/>
    </row>
    <row r="4" spans="1:10" ht="17.100000000000001" customHeight="1">
      <c r="B4" s="175" t="s">
        <v>3</v>
      </c>
      <c r="C4" s="175"/>
      <c r="D4" s="176" t="s">
        <v>33</v>
      </c>
      <c r="E4" s="196" t="str">
        <f>Data!H9</f>
        <v>Milk Silo</v>
      </c>
      <c r="F4" s="163"/>
      <c r="G4" s="163"/>
      <c r="H4" s="163"/>
      <c r="I4" s="163"/>
    </row>
    <row r="5" spans="1:10" ht="17.100000000000001" customHeight="1">
      <c r="B5" s="175" t="s">
        <v>4</v>
      </c>
      <c r="C5" s="175"/>
      <c r="D5" s="176" t="s">
        <v>33</v>
      </c>
      <c r="E5" s="230">
        <f>Data!H10</f>
        <v>42097</v>
      </c>
      <c r="F5" s="163"/>
      <c r="G5" s="163"/>
      <c r="H5" s="163"/>
      <c r="I5" s="163"/>
    </row>
    <row r="6" spans="1:10" ht="17.100000000000001" customHeight="1">
      <c r="B6" s="175" t="s">
        <v>138</v>
      </c>
      <c r="C6" s="175"/>
      <c r="D6" s="198" t="s">
        <v>139</v>
      </c>
      <c r="E6" s="199">
        <f>+Data!H11</f>
        <v>0.53125</v>
      </c>
      <c r="F6" s="163"/>
      <c r="G6" s="163"/>
      <c r="H6" s="163"/>
      <c r="I6" s="163"/>
    </row>
    <row r="7" spans="1:10" ht="17.100000000000001" customHeight="1">
      <c r="B7" s="175" t="s">
        <v>47</v>
      </c>
      <c r="C7" s="175"/>
      <c r="D7" s="176" t="s">
        <v>33</v>
      </c>
      <c r="E7" s="196" t="str">
        <f>Data!H12</f>
        <v>NS</v>
      </c>
      <c r="F7" s="163"/>
      <c r="G7" s="163"/>
      <c r="H7" s="163"/>
      <c r="I7" s="163"/>
    </row>
    <row r="8" spans="1:10" ht="16.5" thickBot="1">
      <c r="B8" s="162"/>
      <c r="C8" s="162"/>
      <c r="D8" s="162"/>
      <c r="E8" s="164"/>
      <c r="F8" s="162"/>
      <c r="G8" s="162"/>
      <c r="H8" s="162"/>
      <c r="I8" s="162"/>
    </row>
    <row r="9" spans="1:10" ht="19.5" thickTop="1">
      <c r="B9" s="192" t="s">
        <v>48</v>
      </c>
      <c r="C9" s="177"/>
      <c r="D9" s="177"/>
      <c r="E9" s="178"/>
      <c r="F9" s="179"/>
      <c r="G9" s="179"/>
      <c r="H9" s="179"/>
      <c r="I9" s="179"/>
      <c r="J9" s="165"/>
    </row>
    <row r="10" spans="1:10">
      <c r="B10" s="180"/>
      <c r="C10" s="167" t="s">
        <v>49</v>
      </c>
      <c r="D10" s="167"/>
      <c r="E10" s="167"/>
      <c r="F10" s="167" t="s">
        <v>33</v>
      </c>
      <c r="G10" s="171">
        <f>Data!H18</f>
        <v>46</v>
      </c>
      <c r="H10" s="167" t="s">
        <v>13</v>
      </c>
      <c r="I10" s="166"/>
      <c r="J10" s="165"/>
    </row>
    <row r="11" spans="1:10">
      <c r="B11" s="181"/>
      <c r="C11" s="95" t="s">
        <v>50</v>
      </c>
      <c r="F11" s="95" t="s">
        <v>33</v>
      </c>
      <c r="G11" s="172">
        <f>Data!H19</f>
        <v>7.1111111111111107</v>
      </c>
      <c r="H11" s="95" t="s">
        <v>51</v>
      </c>
      <c r="I11" s="162"/>
      <c r="J11" s="165"/>
    </row>
    <row r="12" spans="1:10">
      <c r="B12" s="181"/>
      <c r="C12" s="95" t="s">
        <v>52</v>
      </c>
      <c r="F12" s="95" t="s">
        <v>33</v>
      </c>
      <c r="G12" s="169">
        <f>Data!H20</f>
        <v>360</v>
      </c>
      <c r="H12" s="95" t="s">
        <v>15</v>
      </c>
      <c r="I12" s="162"/>
      <c r="J12" s="165"/>
    </row>
    <row r="13" spans="1:10" ht="16.5" thickBot="1">
      <c r="B13" s="181"/>
      <c r="C13" s="95" t="s">
        <v>53</v>
      </c>
      <c r="F13" s="95" t="s">
        <v>33</v>
      </c>
      <c r="G13" s="169">
        <f>Data!H21</f>
        <v>29.612479999999998</v>
      </c>
      <c r="H13" s="95" t="s">
        <v>54</v>
      </c>
      <c r="I13" s="162"/>
      <c r="J13" s="165"/>
    </row>
    <row r="14" spans="1:10" ht="19.5" thickTop="1">
      <c r="B14" s="192" t="s">
        <v>55</v>
      </c>
      <c r="C14" s="177"/>
      <c r="D14" s="177"/>
      <c r="E14" s="179"/>
      <c r="F14" s="179"/>
      <c r="G14" s="179"/>
      <c r="H14" s="179"/>
      <c r="I14" s="179"/>
      <c r="J14" s="165"/>
    </row>
    <row r="15" spans="1:10">
      <c r="B15" s="180"/>
      <c r="C15" s="167" t="s">
        <v>11</v>
      </c>
      <c r="D15" s="167"/>
      <c r="E15" s="167"/>
      <c r="F15" s="167" t="s">
        <v>33</v>
      </c>
      <c r="G15" s="292" t="str">
        <f>Data!H14</f>
        <v>Whole Milk</v>
      </c>
      <c r="H15" s="292"/>
      <c r="I15" s="167"/>
      <c r="J15" s="165"/>
    </row>
    <row r="16" spans="1:10" ht="16.5" thickBot="1">
      <c r="B16" s="181"/>
      <c r="C16" s="169" t="s">
        <v>56</v>
      </c>
      <c r="F16" s="95" t="s">
        <v>33</v>
      </c>
      <c r="G16" s="95">
        <f>Data!H16</f>
        <v>34</v>
      </c>
      <c r="H16" s="95" t="s">
        <v>57</v>
      </c>
      <c r="J16" s="165"/>
    </row>
    <row r="17" spans="2:11" ht="19.5" thickTop="1">
      <c r="B17" s="192" t="s">
        <v>58</v>
      </c>
      <c r="C17" s="182"/>
      <c r="D17" s="177"/>
      <c r="E17" s="179"/>
      <c r="F17" s="179"/>
      <c r="G17" s="179"/>
      <c r="H17" s="179"/>
      <c r="I17" s="179"/>
      <c r="J17" s="168"/>
    </row>
    <row r="18" spans="2:11">
      <c r="B18" s="180"/>
      <c r="C18" s="173" t="s">
        <v>60</v>
      </c>
      <c r="D18" s="167"/>
      <c r="E18" s="167"/>
      <c r="F18" s="167" t="s">
        <v>33</v>
      </c>
      <c r="G18" s="171">
        <f>Data!H22</f>
        <v>134.6021818181818</v>
      </c>
      <c r="H18" s="167" t="s">
        <v>15</v>
      </c>
      <c r="I18" s="167"/>
      <c r="J18" s="168"/>
    </row>
    <row r="19" spans="2:11" ht="16.5" thickBot="1">
      <c r="B19" s="181"/>
      <c r="C19" s="169" t="s">
        <v>60</v>
      </c>
      <c r="F19" s="95" t="s">
        <v>33</v>
      </c>
      <c r="G19" s="174">
        <f>Data!H23</f>
        <v>45.764741818181811</v>
      </c>
      <c r="H19" s="95" t="s">
        <v>59</v>
      </c>
      <c r="J19" s="168"/>
    </row>
    <row r="20" spans="2:11" ht="16.5" thickTop="1">
      <c r="B20" s="183"/>
      <c r="C20" s="184"/>
      <c r="D20" s="185"/>
      <c r="E20" s="185"/>
      <c r="F20" s="185"/>
      <c r="G20" s="185"/>
      <c r="H20" s="185"/>
      <c r="I20" s="186"/>
      <c r="J20" s="169"/>
    </row>
    <row r="21" spans="2:11">
      <c r="B21" s="187"/>
      <c r="C21" s="188"/>
      <c r="D21" s="188"/>
      <c r="E21" s="188"/>
      <c r="F21" s="188"/>
      <c r="G21" s="188"/>
      <c r="H21" s="188"/>
      <c r="I21" s="189"/>
    </row>
    <row r="22" spans="2:11">
      <c r="B22" s="187"/>
      <c r="C22" s="188"/>
      <c r="D22" s="188"/>
      <c r="E22" s="188"/>
      <c r="F22" s="188"/>
      <c r="G22" s="188"/>
      <c r="H22" s="188"/>
      <c r="I22" s="189"/>
    </row>
    <row r="23" spans="2:11">
      <c r="B23" s="187"/>
      <c r="C23" s="188"/>
      <c r="D23" s="188"/>
      <c r="E23" s="188"/>
      <c r="F23" s="188"/>
      <c r="G23" s="188"/>
      <c r="H23" s="188"/>
      <c r="I23" s="189"/>
    </row>
    <row r="24" spans="2:11">
      <c r="B24" s="187"/>
      <c r="C24" s="188"/>
      <c r="D24" s="188"/>
      <c r="E24" s="188"/>
      <c r="F24" s="188"/>
      <c r="G24" s="188"/>
      <c r="H24" s="188"/>
      <c r="I24" s="189"/>
    </row>
    <row r="25" spans="2:11">
      <c r="B25" s="187"/>
      <c r="C25" s="188"/>
      <c r="D25" s="188"/>
      <c r="E25" s="188"/>
      <c r="F25" s="188"/>
      <c r="G25" s="188"/>
      <c r="H25" s="188"/>
      <c r="I25" s="189"/>
      <c r="K25" s="170"/>
    </row>
    <row r="26" spans="2:11">
      <c r="B26" s="187"/>
      <c r="C26" s="188"/>
      <c r="D26" s="188"/>
      <c r="E26" s="188"/>
      <c r="F26" s="188"/>
      <c r="G26" s="188"/>
      <c r="H26" s="188"/>
      <c r="I26" s="189"/>
    </row>
    <row r="27" spans="2:11">
      <c r="B27" s="187"/>
      <c r="C27" s="188"/>
      <c r="D27" s="188"/>
      <c r="E27" s="188"/>
      <c r="F27" s="188"/>
      <c r="G27" s="188"/>
      <c r="H27" s="188"/>
      <c r="I27" s="189"/>
    </row>
    <row r="28" spans="2:11">
      <c r="B28" s="187"/>
      <c r="C28" s="188"/>
      <c r="D28" s="188"/>
      <c r="E28" s="188"/>
      <c r="F28" s="188"/>
      <c r="G28" s="188"/>
      <c r="H28" s="188"/>
      <c r="I28" s="189"/>
    </row>
    <row r="29" spans="2:11">
      <c r="B29" s="187"/>
      <c r="C29" s="188"/>
      <c r="D29" s="188"/>
      <c r="E29" s="188"/>
      <c r="F29" s="188"/>
      <c r="G29" s="188"/>
      <c r="H29" s="188"/>
      <c r="I29" s="189"/>
    </row>
    <row r="30" spans="2:11">
      <c r="B30" s="187"/>
      <c r="C30" s="188"/>
      <c r="D30" s="188"/>
      <c r="E30" s="188"/>
      <c r="F30" s="188"/>
      <c r="G30" s="188"/>
      <c r="H30" s="188"/>
      <c r="I30" s="189"/>
    </row>
    <row r="31" spans="2:11">
      <c r="B31" s="187"/>
      <c r="C31" s="188"/>
      <c r="D31" s="188"/>
      <c r="E31" s="188"/>
      <c r="F31" s="188"/>
      <c r="G31" s="188"/>
      <c r="H31" s="188"/>
      <c r="I31" s="189"/>
    </row>
    <row r="32" spans="2:11">
      <c r="B32" s="187"/>
      <c r="C32" s="188"/>
      <c r="D32" s="188"/>
      <c r="E32" s="188"/>
      <c r="F32" s="188"/>
      <c r="G32" s="188"/>
      <c r="H32" s="188"/>
      <c r="I32" s="189"/>
    </row>
    <row r="33" spans="2:9">
      <c r="B33" s="187"/>
      <c r="C33" s="188"/>
      <c r="D33" s="188"/>
      <c r="E33" s="188"/>
      <c r="F33" s="188"/>
      <c r="G33" s="188"/>
      <c r="H33" s="188"/>
      <c r="I33" s="189"/>
    </row>
    <row r="34" spans="2:9">
      <c r="B34" s="187"/>
      <c r="C34" s="188"/>
      <c r="D34" s="188"/>
      <c r="E34" s="188"/>
      <c r="F34" s="188"/>
      <c r="G34" s="188"/>
      <c r="H34" s="188"/>
      <c r="I34" s="189"/>
    </row>
    <row r="35" spans="2:9">
      <c r="B35" s="187"/>
      <c r="C35" s="188"/>
      <c r="D35" s="188"/>
      <c r="E35" s="188"/>
      <c r="F35" s="188"/>
      <c r="G35" s="188"/>
      <c r="H35" s="188"/>
      <c r="I35" s="189"/>
    </row>
    <row r="36" spans="2:9">
      <c r="B36" s="187"/>
      <c r="C36" s="188"/>
      <c r="D36" s="188"/>
      <c r="E36" s="188"/>
      <c r="F36" s="188"/>
      <c r="G36" s="188"/>
      <c r="H36" s="188"/>
      <c r="I36" s="189"/>
    </row>
    <row r="37" spans="2:9">
      <c r="B37" s="187"/>
      <c r="C37" s="188"/>
      <c r="D37" s="188"/>
      <c r="E37" s="188"/>
      <c r="F37" s="188"/>
      <c r="G37" s="188"/>
      <c r="H37" s="188"/>
      <c r="I37" s="189"/>
    </row>
    <row r="38" spans="2:9">
      <c r="B38" s="187"/>
      <c r="C38" s="188"/>
      <c r="D38" s="188"/>
      <c r="E38" s="188"/>
      <c r="F38" s="188"/>
      <c r="G38" s="188"/>
      <c r="H38" s="188"/>
      <c r="I38" s="189"/>
    </row>
    <row r="39" spans="2:9">
      <c r="B39" s="187"/>
      <c r="C39" s="188"/>
      <c r="D39" s="188"/>
      <c r="E39" s="188"/>
      <c r="F39" s="188"/>
      <c r="G39" s="188"/>
      <c r="H39" s="188"/>
      <c r="I39" s="189"/>
    </row>
    <row r="40" spans="2:9">
      <c r="B40" s="187"/>
      <c r="C40" s="188"/>
      <c r="D40" s="188"/>
      <c r="E40" s="188"/>
      <c r="F40" s="188"/>
      <c r="G40" s="188"/>
      <c r="H40" s="188"/>
      <c r="I40" s="189"/>
    </row>
    <row r="41" spans="2:9">
      <c r="B41" s="187"/>
      <c r="C41" s="188"/>
      <c r="D41" s="188"/>
      <c r="E41" s="188"/>
      <c r="F41" s="188"/>
      <c r="G41" s="188"/>
      <c r="H41" s="188"/>
      <c r="I41" s="189"/>
    </row>
    <row r="42" spans="2:9" ht="7.5" customHeight="1" thickBot="1">
      <c r="B42" s="187"/>
      <c r="C42" s="188"/>
      <c r="D42" s="188"/>
      <c r="E42" s="188"/>
      <c r="F42" s="188"/>
      <c r="G42" s="188"/>
      <c r="H42" s="188"/>
      <c r="I42" s="189"/>
    </row>
    <row r="43" spans="2:9" ht="15.75" customHeight="1">
      <c r="B43" s="187"/>
      <c r="C43" s="193" t="s">
        <v>67</v>
      </c>
      <c r="D43" s="194"/>
      <c r="E43" s="194"/>
      <c r="F43" s="194"/>
      <c r="G43" s="194"/>
      <c r="H43" s="195"/>
      <c r="I43" s="189"/>
    </row>
    <row r="44" spans="2:9" ht="15.75" customHeight="1">
      <c r="B44" s="187"/>
      <c r="C44" s="283" t="str">
        <f>IF(Data!F26=0,"",Data!F26)</f>
        <v/>
      </c>
      <c r="D44" s="284"/>
      <c r="E44" s="284"/>
      <c r="F44" s="284"/>
      <c r="G44" s="284"/>
      <c r="H44" s="285"/>
      <c r="I44" s="189"/>
    </row>
    <row r="45" spans="2:9" ht="15.75" customHeight="1">
      <c r="B45" s="187"/>
      <c r="C45" s="283"/>
      <c r="D45" s="284"/>
      <c r="E45" s="284"/>
      <c r="F45" s="284"/>
      <c r="G45" s="284"/>
      <c r="H45" s="285"/>
      <c r="I45" s="189"/>
    </row>
    <row r="46" spans="2:9" ht="15.75" customHeight="1" thickBot="1">
      <c r="B46" s="187"/>
      <c r="C46" s="286"/>
      <c r="D46" s="287"/>
      <c r="E46" s="287"/>
      <c r="F46" s="287"/>
      <c r="G46" s="287"/>
      <c r="H46" s="288"/>
      <c r="I46" s="189"/>
    </row>
    <row r="47" spans="2:9" ht="16.5" customHeight="1" thickBot="1">
      <c r="B47" s="190" t="s">
        <v>132</v>
      </c>
      <c r="C47" s="191"/>
      <c r="D47" s="191"/>
      <c r="E47" s="191"/>
      <c r="F47" s="191"/>
      <c r="G47" s="290"/>
      <c r="H47" s="290"/>
      <c r="I47" s="291"/>
    </row>
    <row r="48" spans="2:9" ht="16.5" thickTop="1"/>
  </sheetData>
  <sheetProtection sheet="1" objects="1" scenarios="1" selectLockedCells="1"/>
  <mergeCells count="4">
    <mergeCell ref="C44:H46"/>
    <mergeCell ref="B2:I2"/>
    <mergeCell ref="G47:I47"/>
    <mergeCell ref="G15:H15"/>
  </mergeCells>
  <phoneticPr fontId="2" type="noConversion"/>
  <pageMargins left="0.75" right="0.75" top="1" bottom="1" header="0.5" footer="0.5"/>
  <pageSetup paperSize="9" orientation="portrait" horizontalDpi="300" verticalDpi="300" r:id="rId1"/>
  <headerFooter alignWithMargins="0"/>
  <drawing r:id="rId2"/>
  <legacyDrawing r:id="rId3"/>
  <controls>
    <control shapeId="11268" r:id="rId4" name="TextBox1"/>
    <control shapeId="11269" r:id="rId5" name="TextBox2"/>
  </controls>
</worksheet>
</file>

<file path=xl/worksheets/sheet3.xml><?xml version="1.0" encoding="utf-8"?>
<worksheet xmlns="http://schemas.openxmlformats.org/spreadsheetml/2006/main" xmlns:r="http://schemas.openxmlformats.org/officeDocument/2006/relationships">
  <sheetPr codeName="Sheet2"/>
  <dimension ref="A1:DX393"/>
  <sheetViews>
    <sheetView zoomScale="90" workbookViewId="0">
      <pane xSplit="113" ySplit="4" topLeftCell="DJ5" activePane="bottomRight" state="frozen"/>
      <selection pane="topRight" activeCell="DJ1" sqref="DJ1"/>
      <selection pane="bottomLeft" activeCell="A5" sqref="A5"/>
      <selection pane="bottomRight" activeCell="DX18" sqref="DX18"/>
    </sheetView>
  </sheetViews>
  <sheetFormatPr defaultColWidth="8" defaultRowHeight="12.75"/>
  <cols>
    <col min="1" max="1" width="8.875" style="3" bestFit="1" customWidth="1"/>
    <col min="2" max="11" width="2.625" style="1" hidden="1" customWidth="1"/>
    <col min="12" max="29" width="3.5" style="1" hidden="1" customWidth="1"/>
    <col min="30" max="30" width="2.625" style="1" hidden="1" customWidth="1"/>
    <col min="31" max="35" width="3.5" style="1" hidden="1" customWidth="1"/>
    <col min="36" max="36" width="2.625" style="1" hidden="1" customWidth="1"/>
    <col min="37" max="38" width="3.5" style="1" hidden="1" customWidth="1"/>
    <col min="39" max="39" width="2.875" style="1" hidden="1" customWidth="1"/>
    <col min="40" max="41" width="6.625" style="1" hidden="1" customWidth="1"/>
    <col min="42" max="42" width="4.875" style="1" hidden="1" customWidth="1"/>
    <col min="43" max="45" width="3.5" style="1" hidden="1" customWidth="1"/>
    <col min="46" max="49" width="5.75" style="1" hidden="1" customWidth="1"/>
    <col min="50" max="52" width="4.875" style="1" hidden="1" customWidth="1"/>
    <col min="53" max="64" width="3.75" style="1" hidden="1" customWidth="1"/>
    <col min="65" max="65" width="2.625" style="1" hidden="1" customWidth="1"/>
    <col min="66" max="75" width="3.75" style="1" hidden="1" customWidth="1"/>
    <col min="76" max="85" width="3.125" style="1" hidden="1" customWidth="1"/>
    <col min="86" max="112" width="3.625" style="1" hidden="1" customWidth="1"/>
    <col min="113" max="113" width="28.125" style="1" bestFit="1" customWidth="1"/>
    <col min="114" max="114" width="13.625" style="200" customWidth="1"/>
    <col min="115" max="115" width="13" style="201" bestFit="1" customWidth="1"/>
    <col min="116" max="116" width="12.625" style="202" customWidth="1"/>
    <col min="117" max="117" width="13.875" style="1" bestFit="1" customWidth="1"/>
    <col min="118" max="118" width="18.25" style="1" bestFit="1" customWidth="1"/>
    <col min="119" max="119" width="15.25" style="1" bestFit="1" customWidth="1"/>
    <col min="120" max="120" width="7.625" style="1" bestFit="1" customWidth="1"/>
    <col min="121" max="121" width="11.375" style="1" bestFit="1" customWidth="1"/>
    <col min="122" max="122" width="15" style="1" bestFit="1" customWidth="1"/>
    <col min="123" max="123" width="16.875" style="1" bestFit="1" customWidth="1"/>
    <col min="124" max="124" width="17.125" style="1" bestFit="1" customWidth="1"/>
    <col min="125" max="125" width="15.125" style="1" bestFit="1" customWidth="1"/>
    <col min="126" max="126" width="16.75" style="1" bestFit="1" customWidth="1"/>
    <col min="127" max="127" width="9.25" style="1" bestFit="1" customWidth="1"/>
    <col min="128" max="16384" width="8" style="1"/>
  </cols>
  <sheetData>
    <row r="1" spans="1:128" ht="21">
      <c r="A1" s="150" t="s">
        <v>43</v>
      </c>
      <c r="DW1" s="32"/>
    </row>
    <row r="2" spans="1:128" ht="13.5" thickBot="1">
      <c r="DW2" s="32"/>
    </row>
    <row r="3" spans="1:128" ht="15.75" customHeight="1">
      <c r="A3" s="293" t="s">
        <v>45</v>
      </c>
      <c r="B3" s="295" t="s">
        <v>22</v>
      </c>
      <c r="C3" s="296"/>
      <c r="D3" s="296"/>
      <c r="E3" s="296"/>
      <c r="F3" s="296"/>
      <c r="G3" s="296"/>
      <c r="H3" s="296"/>
      <c r="I3" s="296"/>
      <c r="J3" s="296"/>
      <c r="K3" s="296"/>
      <c r="L3" s="296"/>
      <c r="M3" s="296"/>
      <c r="N3" s="296"/>
      <c r="O3" s="296"/>
      <c r="P3" s="296"/>
      <c r="Q3" s="296"/>
      <c r="R3" s="296"/>
      <c r="S3" s="296"/>
      <c r="T3" s="296"/>
      <c r="U3" s="296"/>
      <c r="V3" s="296"/>
      <c r="W3" s="296"/>
      <c r="X3" s="296"/>
      <c r="Y3" s="296"/>
      <c r="Z3" s="296"/>
      <c r="AA3" s="296"/>
      <c r="AB3" s="296"/>
      <c r="AC3" s="296"/>
      <c r="AD3" s="296"/>
      <c r="AE3" s="296"/>
      <c r="AF3" s="296"/>
      <c r="AG3" s="296"/>
      <c r="AH3" s="296"/>
      <c r="AI3" s="296"/>
      <c r="AJ3" s="296"/>
      <c r="AK3" s="296"/>
      <c r="AL3" s="297"/>
      <c r="AM3" s="295" t="s">
        <v>10</v>
      </c>
      <c r="AN3" s="296"/>
      <c r="AO3" s="296"/>
      <c r="AP3" s="296"/>
      <c r="AQ3" s="296"/>
      <c r="AR3" s="296"/>
      <c r="AS3" s="296"/>
      <c r="AT3" s="296"/>
      <c r="AU3" s="296"/>
      <c r="AV3" s="296"/>
      <c r="AW3" s="296"/>
      <c r="AX3" s="296"/>
      <c r="AY3" s="296"/>
      <c r="AZ3" s="296"/>
      <c r="BA3" s="296"/>
      <c r="BB3" s="296"/>
      <c r="BC3" s="296"/>
      <c r="BD3" s="296"/>
      <c r="BE3" s="296"/>
      <c r="BF3" s="296"/>
      <c r="BG3" s="296"/>
      <c r="BH3" s="296"/>
      <c r="BI3" s="296"/>
      <c r="BJ3" s="296"/>
      <c r="BK3" s="296"/>
      <c r="BL3" s="296"/>
      <c r="BM3" s="296"/>
      <c r="BN3" s="296"/>
      <c r="BO3" s="296"/>
      <c r="BP3" s="296"/>
      <c r="BQ3" s="296"/>
      <c r="BR3" s="296"/>
      <c r="BS3" s="296"/>
      <c r="BT3" s="296"/>
      <c r="BU3" s="296"/>
      <c r="BV3" s="296"/>
      <c r="BW3" s="297"/>
      <c r="BX3" s="295" t="s">
        <v>46</v>
      </c>
      <c r="BY3" s="296"/>
      <c r="BZ3" s="296"/>
      <c r="CA3" s="296"/>
      <c r="CB3" s="296"/>
      <c r="CC3" s="296"/>
      <c r="CD3" s="296"/>
      <c r="CE3" s="296"/>
      <c r="CF3" s="296"/>
      <c r="CG3" s="296"/>
      <c r="CH3" s="296"/>
      <c r="CI3" s="296"/>
      <c r="CJ3" s="296"/>
      <c r="CK3" s="296"/>
      <c r="CL3" s="296"/>
      <c r="CM3" s="296"/>
      <c r="CN3" s="296"/>
      <c r="CO3" s="296"/>
      <c r="CP3" s="296"/>
      <c r="CQ3" s="296"/>
      <c r="CR3" s="296"/>
      <c r="CS3" s="296"/>
      <c r="CT3" s="296"/>
      <c r="CU3" s="296"/>
      <c r="CV3" s="296"/>
      <c r="CW3" s="296"/>
      <c r="CX3" s="296"/>
      <c r="CY3" s="296"/>
      <c r="CZ3" s="296"/>
      <c r="DA3" s="296"/>
      <c r="DB3" s="296"/>
      <c r="DC3" s="296"/>
      <c r="DD3" s="296"/>
      <c r="DE3" s="296"/>
      <c r="DF3" s="296"/>
      <c r="DG3" s="296"/>
      <c r="DH3" s="297"/>
      <c r="DI3" s="151" t="s">
        <v>25</v>
      </c>
      <c r="DJ3" s="203" t="s">
        <v>26</v>
      </c>
      <c r="DK3" s="204" t="s">
        <v>27</v>
      </c>
      <c r="DL3" s="205" t="s">
        <v>28</v>
      </c>
      <c r="DM3" s="152" t="s">
        <v>44</v>
      </c>
      <c r="DN3" s="152" t="s">
        <v>11</v>
      </c>
      <c r="DO3" s="152" t="s">
        <v>30</v>
      </c>
      <c r="DP3" s="153" t="s">
        <v>31</v>
      </c>
      <c r="DQ3" s="151" t="s">
        <v>35</v>
      </c>
      <c r="DR3" s="152" t="s">
        <v>36</v>
      </c>
      <c r="DS3" s="152" t="s">
        <v>37</v>
      </c>
      <c r="DT3" s="152" t="s">
        <v>38</v>
      </c>
      <c r="DU3" s="152" t="s">
        <v>39</v>
      </c>
      <c r="DV3" s="153" t="s">
        <v>40</v>
      </c>
      <c r="DW3" s="160" t="s">
        <v>0</v>
      </c>
      <c r="DX3" s="4"/>
    </row>
    <row r="4" spans="1:128" ht="15.75" thickBot="1">
      <c r="A4" s="294"/>
      <c r="B4" s="154">
        <v>0</v>
      </c>
      <c r="C4" s="155">
        <v>1</v>
      </c>
      <c r="D4" s="155">
        <v>2</v>
      </c>
      <c r="E4" s="155">
        <v>3</v>
      </c>
      <c r="F4" s="155">
        <v>4</v>
      </c>
      <c r="G4" s="155">
        <v>5</v>
      </c>
      <c r="H4" s="155">
        <v>6</v>
      </c>
      <c r="I4" s="155">
        <v>7</v>
      </c>
      <c r="J4" s="155">
        <v>8</v>
      </c>
      <c r="K4" s="155">
        <v>9</v>
      </c>
      <c r="L4" s="155">
        <v>10</v>
      </c>
      <c r="M4" s="155">
        <v>11</v>
      </c>
      <c r="N4" s="155">
        <v>12</v>
      </c>
      <c r="O4" s="155">
        <v>13</v>
      </c>
      <c r="P4" s="155">
        <v>14</v>
      </c>
      <c r="Q4" s="155">
        <v>15</v>
      </c>
      <c r="R4" s="155">
        <v>16</v>
      </c>
      <c r="S4" s="155">
        <v>17</v>
      </c>
      <c r="T4" s="155">
        <v>18</v>
      </c>
      <c r="U4" s="155">
        <v>19</v>
      </c>
      <c r="V4" s="155">
        <v>20</v>
      </c>
      <c r="W4" s="155">
        <v>21</v>
      </c>
      <c r="X4" s="155">
        <v>22</v>
      </c>
      <c r="Y4" s="155">
        <v>23</v>
      </c>
      <c r="Z4" s="155">
        <v>24</v>
      </c>
      <c r="AA4" s="155">
        <v>25</v>
      </c>
      <c r="AB4" s="155">
        <v>26</v>
      </c>
      <c r="AC4" s="155">
        <v>27</v>
      </c>
      <c r="AD4" s="155">
        <v>28</v>
      </c>
      <c r="AE4" s="155">
        <v>29</v>
      </c>
      <c r="AF4" s="155">
        <v>30</v>
      </c>
      <c r="AG4" s="155">
        <v>31</v>
      </c>
      <c r="AH4" s="155">
        <v>32</v>
      </c>
      <c r="AI4" s="155">
        <v>33</v>
      </c>
      <c r="AJ4" s="155">
        <v>34</v>
      </c>
      <c r="AK4" s="155">
        <v>35</v>
      </c>
      <c r="AL4" s="156">
        <v>36</v>
      </c>
      <c r="AM4" s="154">
        <v>0</v>
      </c>
      <c r="AN4" s="155">
        <v>1</v>
      </c>
      <c r="AO4" s="155">
        <v>2</v>
      </c>
      <c r="AP4" s="155">
        <v>3</v>
      </c>
      <c r="AQ4" s="155">
        <v>4</v>
      </c>
      <c r="AR4" s="155">
        <v>5</v>
      </c>
      <c r="AS4" s="155">
        <v>6</v>
      </c>
      <c r="AT4" s="155">
        <v>7</v>
      </c>
      <c r="AU4" s="155">
        <v>8</v>
      </c>
      <c r="AV4" s="155">
        <v>9</v>
      </c>
      <c r="AW4" s="155">
        <v>10</v>
      </c>
      <c r="AX4" s="155">
        <v>11</v>
      </c>
      <c r="AY4" s="155">
        <v>12</v>
      </c>
      <c r="AZ4" s="155">
        <v>13</v>
      </c>
      <c r="BA4" s="155">
        <v>14</v>
      </c>
      <c r="BB4" s="155">
        <v>15</v>
      </c>
      <c r="BC4" s="155">
        <v>16</v>
      </c>
      <c r="BD4" s="155">
        <v>17</v>
      </c>
      <c r="BE4" s="155">
        <v>18</v>
      </c>
      <c r="BF4" s="155">
        <v>19</v>
      </c>
      <c r="BG4" s="155">
        <v>20</v>
      </c>
      <c r="BH4" s="155">
        <v>21</v>
      </c>
      <c r="BI4" s="155">
        <v>22</v>
      </c>
      <c r="BJ4" s="155">
        <v>23</v>
      </c>
      <c r="BK4" s="155">
        <v>24</v>
      </c>
      <c r="BL4" s="155">
        <v>25</v>
      </c>
      <c r="BM4" s="155">
        <v>26</v>
      </c>
      <c r="BN4" s="155">
        <v>27</v>
      </c>
      <c r="BO4" s="155">
        <v>28</v>
      </c>
      <c r="BP4" s="155">
        <v>29</v>
      </c>
      <c r="BQ4" s="155">
        <v>30</v>
      </c>
      <c r="BR4" s="155">
        <v>31</v>
      </c>
      <c r="BS4" s="155">
        <v>32</v>
      </c>
      <c r="BT4" s="155">
        <v>33</v>
      </c>
      <c r="BU4" s="155">
        <v>34</v>
      </c>
      <c r="BV4" s="155">
        <v>35</v>
      </c>
      <c r="BW4" s="156">
        <v>36</v>
      </c>
      <c r="BX4" s="154">
        <v>0</v>
      </c>
      <c r="BY4" s="155">
        <v>1</v>
      </c>
      <c r="BZ4" s="155">
        <v>2</v>
      </c>
      <c r="CA4" s="155">
        <v>3</v>
      </c>
      <c r="CB4" s="155">
        <v>4</v>
      </c>
      <c r="CC4" s="155">
        <v>5</v>
      </c>
      <c r="CD4" s="155">
        <v>6</v>
      </c>
      <c r="CE4" s="155">
        <v>7</v>
      </c>
      <c r="CF4" s="155">
        <v>8</v>
      </c>
      <c r="CG4" s="155">
        <v>9</v>
      </c>
      <c r="CH4" s="155">
        <v>10</v>
      </c>
      <c r="CI4" s="155">
        <v>11</v>
      </c>
      <c r="CJ4" s="155">
        <v>12</v>
      </c>
      <c r="CK4" s="155">
        <v>13</v>
      </c>
      <c r="CL4" s="155">
        <v>14</v>
      </c>
      <c r="CM4" s="155">
        <v>15</v>
      </c>
      <c r="CN4" s="155">
        <v>16</v>
      </c>
      <c r="CO4" s="155">
        <v>17</v>
      </c>
      <c r="CP4" s="155">
        <v>18</v>
      </c>
      <c r="CQ4" s="155">
        <v>19</v>
      </c>
      <c r="CR4" s="155">
        <v>20</v>
      </c>
      <c r="CS4" s="155">
        <v>21</v>
      </c>
      <c r="CT4" s="155">
        <v>22</v>
      </c>
      <c r="CU4" s="155">
        <v>23</v>
      </c>
      <c r="CV4" s="155">
        <v>24</v>
      </c>
      <c r="CW4" s="155">
        <v>25</v>
      </c>
      <c r="CX4" s="155">
        <v>26</v>
      </c>
      <c r="CY4" s="155">
        <v>27</v>
      </c>
      <c r="CZ4" s="155">
        <v>28</v>
      </c>
      <c r="DA4" s="155">
        <v>29</v>
      </c>
      <c r="DB4" s="155">
        <v>30</v>
      </c>
      <c r="DC4" s="155">
        <v>31</v>
      </c>
      <c r="DD4" s="155">
        <v>32</v>
      </c>
      <c r="DE4" s="155">
        <v>33</v>
      </c>
      <c r="DF4" s="155">
        <v>34</v>
      </c>
      <c r="DG4" s="155">
        <v>35</v>
      </c>
      <c r="DH4" s="156">
        <v>36</v>
      </c>
      <c r="DI4" s="157"/>
      <c r="DJ4" s="206"/>
      <c r="DK4" s="207"/>
      <c r="DL4" s="155"/>
      <c r="DM4" s="158"/>
      <c r="DN4" s="158"/>
      <c r="DO4" s="158"/>
      <c r="DP4" s="159"/>
      <c r="DQ4" s="157"/>
      <c r="DR4" s="158"/>
      <c r="DS4" s="158"/>
      <c r="DT4" s="158"/>
      <c r="DU4" s="158"/>
      <c r="DV4" s="159"/>
      <c r="DW4" s="31"/>
      <c r="DX4" s="5"/>
    </row>
    <row r="5" spans="1:128">
      <c r="A5" s="7">
        <v>1</v>
      </c>
      <c r="B5" s="12">
        <v>0</v>
      </c>
      <c r="C5" s="12">
        <v>5</v>
      </c>
      <c r="D5" s="12">
        <v>10</v>
      </c>
      <c r="E5" s="12">
        <v>15</v>
      </c>
      <c r="F5" s="12">
        <v>20</v>
      </c>
      <c r="G5" s="12">
        <v>25</v>
      </c>
      <c r="H5" s="12">
        <v>35</v>
      </c>
      <c r="I5" s="12">
        <v>45</v>
      </c>
      <c r="J5" s="12">
        <v>46</v>
      </c>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3"/>
      <c r="AM5" s="14">
        <v>210000</v>
      </c>
      <c r="AN5" s="15">
        <v>210000</v>
      </c>
      <c r="AO5" s="15">
        <v>190000</v>
      </c>
      <c r="AP5" s="15">
        <v>189000</v>
      </c>
      <c r="AQ5" s="15">
        <v>165000</v>
      </c>
      <c r="AR5" s="15">
        <v>3400</v>
      </c>
      <c r="AS5" s="15">
        <v>3456</v>
      </c>
      <c r="AT5" s="15">
        <v>0</v>
      </c>
      <c r="AU5" s="15">
        <v>0</v>
      </c>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6"/>
      <c r="BX5" s="17">
        <v>8</v>
      </c>
      <c r="BY5" s="18">
        <v>8</v>
      </c>
      <c r="BZ5" s="18">
        <v>8</v>
      </c>
      <c r="CA5" s="18">
        <v>8</v>
      </c>
      <c r="CB5" s="18">
        <v>8</v>
      </c>
      <c r="CC5" s="18">
        <v>8</v>
      </c>
      <c r="CD5" s="18">
        <v>8</v>
      </c>
      <c r="CE5" s="18">
        <v>8</v>
      </c>
      <c r="CF5" s="18">
        <v>0</v>
      </c>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9"/>
      <c r="DI5" s="11" t="s">
        <v>133</v>
      </c>
      <c r="DJ5" s="208">
        <v>42097</v>
      </c>
      <c r="DK5" s="209">
        <v>0.53125</v>
      </c>
      <c r="DL5" s="210" t="s">
        <v>134</v>
      </c>
      <c r="DM5" s="40" t="s">
        <v>133</v>
      </c>
      <c r="DN5" s="21" t="s">
        <v>61</v>
      </c>
      <c r="DO5" s="15">
        <v>220000</v>
      </c>
      <c r="DP5" s="13">
        <v>34</v>
      </c>
      <c r="DQ5" s="14">
        <v>46</v>
      </c>
      <c r="DR5" s="18">
        <v>7.1111111111111107</v>
      </c>
      <c r="DS5" s="15">
        <v>360</v>
      </c>
      <c r="DT5" s="82">
        <v>29.612479999999998</v>
      </c>
      <c r="DU5" s="33"/>
      <c r="DV5" s="34"/>
      <c r="DW5" s="8"/>
    </row>
    <row r="6" spans="1:128">
      <c r="A6" s="37">
        <v>2</v>
      </c>
      <c r="B6" s="12">
        <v>0</v>
      </c>
      <c r="C6" s="12">
        <v>5</v>
      </c>
      <c r="D6" s="12">
        <v>10</v>
      </c>
      <c r="E6" s="12">
        <v>15</v>
      </c>
      <c r="F6" s="12">
        <v>20</v>
      </c>
      <c r="G6" s="12">
        <v>25</v>
      </c>
      <c r="H6" s="12">
        <v>30</v>
      </c>
      <c r="I6" s="12">
        <v>45</v>
      </c>
      <c r="J6" s="12">
        <v>60</v>
      </c>
      <c r="K6" s="12">
        <v>61</v>
      </c>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3"/>
      <c r="AM6" s="14">
        <v>185000</v>
      </c>
      <c r="AN6" s="15">
        <v>52000</v>
      </c>
      <c r="AO6" s="15">
        <v>12000</v>
      </c>
      <c r="AP6" s="15">
        <v>1500</v>
      </c>
      <c r="AQ6" s="15">
        <v>1000</v>
      </c>
      <c r="AR6" s="15">
        <v>0</v>
      </c>
      <c r="AS6" s="15">
        <v>0</v>
      </c>
      <c r="AT6" s="15">
        <v>0</v>
      </c>
      <c r="AU6" s="15">
        <v>0</v>
      </c>
      <c r="AV6" s="15">
        <v>0</v>
      </c>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6"/>
      <c r="BX6" s="17">
        <v>8</v>
      </c>
      <c r="BY6" s="18">
        <v>8</v>
      </c>
      <c r="BZ6" s="18">
        <v>8</v>
      </c>
      <c r="CA6" s="18">
        <v>8</v>
      </c>
      <c r="CB6" s="18">
        <v>8</v>
      </c>
      <c r="CC6" s="18">
        <v>8</v>
      </c>
      <c r="CD6" s="18">
        <v>8</v>
      </c>
      <c r="CE6" s="18">
        <v>8</v>
      </c>
      <c r="CF6" s="18">
        <v>8</v>
      </c>
      <c r="CG6" s="18">
        <v>0</v>
      </c>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9"/>
      <c r="DI6" s="11" t="s">
        <v>133</v>
      </c>
      <c r="DJ6" s="208">
        <v>42195</v>
      </c>
      <c r="DK6" s="209">
        <v>0.28125</v>
      </c>
      <c r="DL6" s="210" t="s">
        <v>134</v>
      </c>
      <c r="DM6" s="40" t="s">
        <v>142</v>
      </c>
      <c r="DN6" s="21" t="s">
        <v>61</v>
      </c>
      <c r="DO6" s="15">
        <v>220000</v>
      </c>
      <c r="DP6" s="13">
        <v>34</v>
      </c>
      <c r="DQ6" s="14">
        <v>61</v>
      </c>
      <c r="DR6" s="18">
        <v>7.2</v>
      </c>
      <c r="DS6" s="15">
        <v>480</v>
      </c>
      <c r="DT6" s="82">
        <v>2.64</v>
      </c>
      <c r="DU6" s="33"/>
      <c r="DV6" s="34"/>
      <c r="DW6" s="8" t="s">
        <v>143</v>
      </c>
    </row>
    <row r="7" spans="1:128">
      <c r="A7" s="37"/>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3"/>
      <c r="AM7" s="14"/>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6"/>
      <c r="BX7" s="17"/>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9"/>
      <c r="DI7" s="11"/>
      <c r="DJ7" s="208"/>
      <c r="DK7" s="209"/>
      <c r="DL7" s="210"/>
      <c r="DM7" s="40"/>
      <c r="DN7" s="21"/>
      <c r="DO7" s="15"/>
      <c r="DP7" s="13"/>
      <c r="DQ7" s="14"/>
      <c r="DR7" s="18"/>
      <c r="DS7" s="15"/>
      <c r="DT7" s="82"/>
      <c r="DU7" s="33"/>
      <c r="DV7" s="34"/>
      <c r="DW7" s="41"/>
    </row>
    <row r="8" spans="1:128">
      <c r="A8" s="37"/>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3"/>
      <c r="AM8" s="14"/>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6"/>
      <c r="BX8" s="17"/>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9"/>
      <c r="DI8" s="39"/>
      <c r="DJ8" s="208"/>
      <c r="DK8" s="211"/>
      <c r="DL8" s="210"/>
      <c r="DM8" s="40"/>
      <c r="DN8" s="40"/>
      <c r="DO8" s="15"/>
      <c r="DP8" s="13"/>
      <c r="DQ8" s="14"/>
      <c r="DR8" s="18"/>
      <c r="DS8" s="15"/>
      <c r="DT8" s="82"/>
      <c r="DU8" s="33"/>
      <c r="DV8" s="34"/>
      <c r="DW8" s="8"/>
    </row>
    <row r="9" spans="1:128">
      <c r="A9" s="37"/>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3"/>
      <c r="AM9" s="14"/>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6"/>
      <c r="BX9" s="17"/>
      <c r="BY9" s="18"/>
      <c r="BZ9" s="18"/>
      <c r="CA9" s="18"/>
      <c r="CB9" s="18"/>
      <c r="CC9" s="18"/>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9"/>
      <c r="DI9" s="11"/>
      <c r="DJ9" s="208"/>
      <c r="DK9" s="209"/>
      <c r="DL9" s="210"/>
      <c r="DM9" s="21"/>
      <c r="DN9" s="21"/>
      <c r="DO9" s="15"/>
      <c r="DP9" s="13"/>
      <c r="DQ9" s="14"/>
      <c r="DR9" s="18"/>
      <c r="DS9" s="15"/>
      <c r="DT9" s="82"/>
      <c r="DU9" s="33"/>
      <c r="DV9" s="34"/>
      <c r="DW9" s="8"/>
    </row>
    <row r="10" spans="1:128">
      <c r="A10" s="37"/>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3"/>
      <c r="AM10" s="14"/>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6"/>
      <c r="BX10" s="17"/>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9"/>
      <c r="DI10" s="39"/>
      <c r="DJ10" s="208"/>
      <c r="DK10" s="209"/>
      <c r="DL10" s="210"/>
      <c r="DM10" s="21"/>
      <c r="DN10" s="40"/>
      <c r="DO10" s="15"/>
      <c r="DP10" s="13"/>
      <c r="DQ10" s="14"/>
      <c r="DR10" s="18"/>
      <c r="DS10" s="15"/>
      <c r="DT10" s="82"/>
      <c r="DU10" s="33"/>
      <c r="DV10" s="34"/>
      <c r="DW10" s="41"/>
    </row>
    <row r="11" spans="1:128">
      <c r="A11" s="37"/>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3"/>
      <c r="AM11" s="14"/>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6"/>
      <c r="BX11" s="17"/>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9"/>
      <c r="DI11" s="39"/>
      <c r="DJ11" s="208"/>
      <c r="DK11" s="209"/>
      <c r="DL11" s="210"/>
      <c r="DM11" s="21"/>
      <c r="DN11" s="21"/>
      <c r="DO11" s="15"/>
      <c r="DP11" s="13"/>
      <c r="DQ11" s="14"/>
      <c r="DR11" s="18"/>
      <c r="DS11" s="15"/>
      <c r="DT11" s="82"/>
      <c r="DU11" s="33"/>
      <c r="DV11" s="34"/>
      <c r="DW11" s="8"/>
    </row>
    <row r="12" spans="1:128">
      <c r="A12" s="37"/>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3"/>
      <c r="AM12" s="14"/>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6"/>
      <c r="BX12" s="17"/>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9"/>
      <c r="DI12" s="39"/>
      <c r="DJ12" s="212"/>
      <c r="DK12" s="209"/>
      <c r="DL12" s="210"/>
      <c r="DM12" s="21"/>
      <c r="DN12" s="21"/>
      <c r="DO12" s="15"/>
      <c r="DP12" s="13"/>
      <c r="DQ12" s="14"/>
      <c r="DR12" s="18"/>
      <c r="DS12" s="15"/>
      <c r="DT12" s="82"/>
      <c r="DU12" s="33"/>
      <c r="DV12" s="34"/>
      <c r="DW12" s="8"/>
    </row>
    <row r="13" spans="1:128">
      <c r="A13" s="37"/>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3"/>
      <c r="AM13" s="14"/>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6"/>
      <c r="BX13" s="17"/>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9"/>
      <c r="DI13" s="11"/>
      <c r="DJ13" s="212"/>
      <c r="DK13" s="209"/>
      <c r="DL13" s="210"/>
      <c r="DM13" s="21"/>
      <c r="DN13" s="21"/>
      <c r="DO13" s="15"/>
      <c r="DP13" s="13"/>
      <c r="DQ13" s="14"/>
      <c r="DR13" s="18"/>
      <c r="DS13" s="15"/>
      <c r="DT13" s="82"/>
      <c r="DU13" s="33"/>
      <c r="DV13" s="34"/>
      <c r="DW13" s="8"/>
    </row>
    <row r="14" spans="1:128">
      <c r="A14" s="37"/>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3"/>
      <c r="AM14" s="14"/>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6"/>
      <c r="BX14" s="17"/>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9"/>
      <c r="DI14" s="11"/>
      <c r="DJ14" s="212"/>
      <c r="DK14" s="209"/>
      <c r="DL14" s="210"/>
      <c r="DM14" s="21"/>
      <c r="DN14" s="21"/>
      <c r="DO14" s="15"/>
      <c r="DP14" s="13"/>
      <c r="DQ14" s="14"/>
      <c r="DR14" s="18"/>
      <c r="DS14" s="15"/>
      <c r="DT14" s="82"/>
      <c r="DU14" s="33"/>
      <c r="DV14" s="34"/>
      <c r="DW14" s="8"/>
    </row>
    <row r="15" spans="1:128">
      <c r="A15" s="37"/>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3"/>
      <c r="AM15" s="14"/>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6"/>
      <c r="BX15" s="17"/>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9"/>
      <c r="DI15" s="39"/>
      <c r="DJ15" s="212"/>
      <c r="DK15" s="211"/>
      <c r="DL15" s="210"/>
      <c r="DM15" s="21"/>
      <c r="DN15" s="21"/>
      <c r="DO15" s="15"/>
      <c r="DP15" s="13"/>
      <c r="DQ15" s="14"/>
      <c r="DR15" s="18"/>
      <c r="DS15" s="15"/>
      <c r="DT15" s="82"/>
      <c r="DU15" s="33"/>
      <c r="DV15" s="34"/>
      <c r="DW15" s="8"/>
    </row>
    <row r="16" spans="1:128">
      <c r="A16" s="37"/>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3"/>
      <c r="AM16" s="14"/>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6"/>
      <c r="BX16" s="17"/>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9"/>
      <c r="DI16" s="11"/>
      <c r="DJ16" s="208"/>
      <c r="DK16" s="209"/>
      <c r="DL16" s="210"/>
      <c r="DM16" s="21"/>
      <c r="DN16" s="21"/>
      <c r="DO16" s="15"/>
      <c r="DP16" s="13"/>
      <c r="DQ16" s="14"/>
      <c r="DR16" s="18"/>
      <c r="DS16" s="15"/>
      <c r="DT16" s="82"/>
      <c r="DU16" s="33"/>
      <c r="DV16" s="34"/>
      <c r="DW16" s="8"/>
    </row>
    <row r="17" spans="1:127">
      <c r="A17" s="37"/>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3"/>
      <c r="AM17" s="14"/>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6"/>
      <c r="BX17" s="17"/>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9"/>
      <c r="DI17" s="39"/>
      <c r="DJ17" s="212"/>
      <c r="DK17" s="211"/>
      <c r="DL17" s="210"/>
      <c r="DM17" s="21"/>
      <c r="DN17" s="21"/>
      <c r="DO17" s="15"/>
      <c r="DP17" s="13"/>
      <c r="DQ17" s="14"/>
      <c r="DR17" s="18"/>
      <c r="DS17" s="15"/>
      <c r="DT17" s="82"/>
      <c r="DU17" s="33"/>
      <c r="DV17" s="34"/>
      <c r="DW17" s="8"/>
    </row>
    <row r="18" spans="1:127">
      <c r="A18" s="37"/>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3"/>
      <c r="AM18" s="14"/>
      <c r="AN18" s="15"/>
      <c r="AO18" s="15"/>
      <c r="AP18" s="15"/>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6"/>
      <c r="BX18" s="17"/>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9"/>
      <c r="DI18" s="39"/>
      <c r="DJ18" s="212"/>
      <c r="DK18" s="211"/>
      <c r="DL18" s="210"/>
      <c r="DM18" s="21"/>
      <c r="DN18" s="21"/>
      <c r="DO18" s="15"/>
      <c r="DP18" s="13"/>
      <c r="DQ18" s="14"/>
      <c r="DR18" s="18"/>
      <c r="DS18" s="15"/>
      <c r="DT18" s="82"/>
      <c r="DU18" s="33"/>
      <c r="DV18" s="34"/>
      <c r="DW18" s="8"/>
    </row>
    <row r="19" spans="1:127">
      <c r="A19" s="37"/>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3"/>
      <c r="AM19" s="14"/>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6"/>
      <c r="BX19" s="17"/>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9"/>
      <c r="DI19" s="39"/>
      <c r="DJ19" s="212"/>
      <c r="DK19" s="211"/>
      <c r="DL19" s="210"/>
      <c r="DM19" s="21"/>
      <c r="DN19" s="21"/>
      <c r="DO19" s="15"/>
      <c r="DP19" s="13"/>
      <c r="DQ19" s="14"/>
      <c r="DR19" s="18"/>
      <c r="DS19" s="15"/>
      <c r="DT19" s="82"/>
      <c r="DU19" s="33"/>
      <c r="DV19" s="34"/>
      <c r="DW19" s="8"/>
    </row>
    <row r="20" spans="1:127">
      <c r="A20" s="37"/>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3"/>
      <c r="AM20" s="14"/>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6"/>
      <c r="BX20" s="17"/>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9"/>
      <c r="DI20" s="39"/>
      <c r="DJ20" s="212"/>
      <c r="DK20" s="211"/>
      <c r="DL20" s="210"/>
      <c r="DM20" s="21"/>
      <c r="DN20" s="21"/>
      <c r="DO20" s="15"/>
      <c r="DP20" s="13"/>
      <c r="DQ20" s="14"/>
      <c r="DR20" s="18"/>
      <c r="DS20" s="15"/>
      <c r="DT20" s="82"/>
      <c r="DU20" s="33"/>
      <c r="DV20" s="34"/>
      <c r="DW20" s="8"/>
    </row>
    <row r="21" spans="1:127">
      <c r="A21" s="37"/>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3"/>
      <c r="AM21" s="14"/>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6"/>
      <c r="BX21" s="17"/>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9"/>
      <c r="DI21" s="61"/>
      <c r="DJ21" s="212"/>
      <c r="DK21" s="211"/>
      <c r="DL21" s="210"/>
      <c r="DM21" s="21"/>
      <c r="DN21" s="21"/>
      <c r="DO21" s="15"/>
      <c r="DP21" s="13"/>
      <c r="DQ21" s="14"/>
      <c r="DR21" s="18"/>
      <c r="DS21" s="15"/>
      <c r="DT21" s="82"/>
      <c r="DU21" s="33"/>
      <c r="DV21" s="34"/>
      <c r="DW21" s="8"/>
    </row>
    <row r="22" spans="1:127">
      <c r="A22" s="37"/>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3"/>
      <c r="AM22" s="14"/>
      <c r="AN22" s="15"/>
      <c r="AO22" s="15"/>
      <c r="AP22" s="15"/>
      <c r="AQ22" s="15"/>
      <c r="AR22" s="15"/>
      <c r="AS22" s="15"/>
      <c r="AT22" s="15"/>
      <c r="AU22" s="15"/>
      <c r="AV22" s="15"/>
      <c r="AW22" s="15"/>
      <c r="AX22" s="15"/>
      <c r="AY22" s="15"/>
      <c r="AZ22" s="15"/>
      <c r="BA22" s="15"/>
      <c r="BB22" s="15"/>
      <c r="BC22" s="15"/>
      <c r="BD22" s="15"/>
      <c r="BE22" s="15"/>
      <c r="BF22" s="15"/>
      <c r="BG22" s="15"/>
      <c r="BH22" s="15"/>
      <c r="BI22" s="15"/>
      <c r="BJ22" s="15"/>
      <c r="BK22" s="15"/>
      <c r="BL22" s="15"/>
      <c r="BM22" s="15"/>
      <c r="BN22" s="15"/>
      <c r="BO22" s="15"/>
      <c r="BP22" s="15"/>
      <c r="BQ22" s="15"/>
      <c r="BR22" s="15"/>
      <c r="BS22" s="15"/>
      <c r="BT22" s="15"/>
      <c r="BU22" s="15"/>
      <c r="BV22" s="15"/>
      <c r="BW22" s="16"/>
      <c r="BX22" s="17"/>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9"/>
      <c r="DI22" s="61"/>
      <c r="DJ22" s="212"/>
      <c r="DK22" s="211"/>
      <c r="DL22" s="210"/>
      <c r="DM22" s="21"/>
      <c r="DN22" s="21"/>
      <c r="DO22" s="15"/>
      <c r="DP22" s="13"/>
      <c r="DQ22" s="14"/>
      <c r="DR22" s="18"/>
      <c r="DS22" s="15"/>
      <c r="DT22" s="82"/>
      <c r="DU22" s="33"/>
      <c r="DV22" s="34"/>
      <c r="DW22" s="8"/>
    </row>
    <row r="23" spans="1:127">
      <c r="A23" s="37"/>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3"/>
      <c r="AM23" s="14"/>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BW23" s="16"/>
      <c r="BX23" s="17"/>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9"/>
      <c r="DI23" s="61"/>
      <c r="DJ23" s="212"/>
      <c r="DK23" s="211"/>
      <c r="DL23" s="210"/>
      <c r="DM23" s="21"/>
      <c r="DN23" s="21"/>
      <c r="DO23" s="15"/>
      <c r="DP23" s="13"/>
      <c r="DQ23" s="14"/>
      <c r="DR23" s="18"/>
      <c r="DS23" s="15"/>
      <c r="DT23" s="82"/>
      <c r="DU23" s="33"/>
      <c r="DV23" s="34"/>
      <c r="DW23" s="8"/>
    </row>
    <row r="24" spans="1:127">
      <c r="A24" s="37"/>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3"/>
      <c r="AM24" s="14"/>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6"/>
      <c r="BX24" s="17"/>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9"/>
      <c r="DI24" s="61"/>
      <c r="DJ24" s="212"/>
      <c r="DK24" s="211"/>
      <c r="DL24" s="210"/>
      <c r="DM24" s="21"/>
      <c r="DN24" s="21"/>
      <c r="DO24" s="15"/>
      <c r="DP24" s="13"/>
      <c r="DQ24" s="14"/>
      <c r="DR24" s="18"/>
      <c r="DS24" s="15"/>
      <c r="DT24" s="82"/>
      <c r="DU24" s="33"/>
      <c r="DV24" s="34"/>
      <c r="DW24" s="8"/>
    </row>
    <row r="25" spans="1:127">
      <c r="A25" s="37"/>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3"/>
      <c r="AM25" s="14"/>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6"/>
      <c r="BX25" s="17"/>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9"/>
      <c r="DI25" s="61"/>
      <c r="DJ25" s="212"/>
      <c r="DK25" s="211"/>
      <c r="DL25" s="210"/>
      <c r="DM25" s="21"/>
      <c r="DN25" s="21"/>
      <c r="DO25" s="15"/>
      <c r="DP25" s="13"/>
      <c r="DQ25" s="14"/>
      <c r="DR25" s="18"/>
      <c r="DS25" s="15"/>
      <c r="DT25" s="82"/>
      <c r="DU25" s="33"/>
      <c r="DV25" s="34"/>
      <c r="DW25" s="8"/>
    </row>
    <row r="26" spans="1:127">
      <c r="A26" s="37"/>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3"/>
      <c r="AM26" s="14"/>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6"/>
      <c r="BX26" s="17"/>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9"/>
      <c r="DI26" s="61"/>
      <c r="DJ26" s="212"/>
      <c r="DK26" s="211"/>
      <c r="DL26" s="210"/>
      <c r="DM26" s="21"/>
      <c r="DN26" s="40"/>
      <c r="DO26" s="15"/>
      <c r="DP26" s="13"/>
      <c r="DQ26" s="14"/>
      <c r="DR26" s="18"/>
      <c r="DS26" s="15"/>
      <c r="DT26" s="82"/>
      <c r="DU26" s="33"/>
      <c r="DV26" s="34"/>
      <c r="DW26" s="8"/>
    </row>
    <row r="27" spans="1:127">
      <c r="A27" s="37"/>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3"/>
      <c r="AM27" s="14"/>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6"/>
      <c r="BX27" s="17"/>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9"/>
      <c r="DI27" s="61"/>
      <c r="DJ27" s="212"/>
      <c r="DK27" s="211"/>
      <c r="DL27" s="210"/>
      <c r="DM27" s="21"/>
      <c r="DN27" s="21"/>
      <c r="DO27" s="15"/>
      <c r="DP27" s="13"/>
      <c r="DQ27" s="14"/>
      <c r="DR27" s="18"/>
      <c r="DS27" s="15"/>
      <c r="DT27" s="82"/>
      <c r="DU27" s="33"/>
      <c r="DV27" s="34"/>
      <c r="DW27" s="8"/>
    </row>
    <row r="28" spans="1:127">
      <c r="A28" s="37"/>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3"/>
      <c r="AM28" s="14"/>
      <c r="AN28" s="15"/>
      <c r="AO28" s="15"/>
      <c r="AP28" s="15"/>
      <c r="AQ28" s="15"/>
      <c r="AR28" s="15"/>
      <c r="AS28" s="15"/>
      <c r="AT28" s="15"/>
      <c r="AU28" s="15"/>
      <c r="AV28" s="15"/>
      <c r="AW28" s="15"/>
      <c r="AX28" s="15"/>
      <c r="AY28" s="15"/>
      <c r="AZ28" s="15"/>
      <c r="BA28" s="15"/>
      <c r="BB28" s="15"/>
      <c r="BC28" s="15"/>
      <c r="BD28" s="15"/>
      <c r="BE28" s="15"/>
      <c r="BF28" s="15"/>
      <c r="BG28" s="15"/>
      <c r="BH28" s="15"/>
      <c r="BI28" s="15"/>
      <c r="BJ28" s="15"/>
      <c r="BK28" s="15"/>
      <c r="BL28" s="15"/>
      <c r="BM28" s="15"/>
      <c r="BN28" s="15"/>
      <c r="BO28" s="15"/>
      <c r="BP28" s="15"/>
      <c r="BQ28" s="15"/>
      <c r="BR28" s="15"/>
      <c r="BS28" s="15"/>
      <c r="BT28" s="15"/>
      <c r="BU28" s="15"/>
      <c r="BV28" s="15"/>
      <c r="BW28" s="16"/>
      <c r="BX28" s="17"/>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9"/>
      <c r="DI28" s="62"/>
      <c r="DJ28" s="212"/>
      <c r="DK28" s="211"/>
      <c r="DL28" s="210"/>
      <c r="DM28" s="21"/>
      <c r="DN28" s="21"/>
      <c r="DO28" s="15"/>
      <c r="DP28" s="13"/>
      <c r="DQ28" s="14"/>
      <c r="DR28" s="18"/>
      <c r="DS28" s="15"/>
      <c r="DT28" s="82"/>
      <c r="DU28" s="33"/>
      <c r="DV28" s="34"/>
      <c r="DW28" s="8"/>
    </row>
    <row r="29" spans="1:127">
      <c r="A29" s="37"/>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3"/>
      <c r="AM29" s="14"/>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6"/>
      <c r="BX29" s="17"/>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9"/>
      <c r="DI29" s="61"/>
      <c r="DJ29" s="212"/>
      <c r="DK29" s="211"/>
      <c r="DL29" s="210"/>
      <c r="DM29" s="21"/>
      <c r="DN29" s="21"/>
      <c r="DO29" s="15"/>
      <c r="DP29" s="13"/>
      <c r="DQ29" s="14"/>
      <c r="DR29" s="18"/>
      <c r="DS29" s="15"/>
      <c r="DT29" s="82"/>
      <c r="DU29" s="33"/>
      <c r="DV29" s="34"/>
      <c r="DW29" s="8"/>
    </row>
    <row r="30" spans="1:127">
      <c r="A30" s="37"/>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3"/>
      <c r="AM30" s="14"/>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6"/>
      <c r="BX30" s="17"/>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9"/>
      <c r="DI30" s="61"/>
      <c r="DJ30" s="212"/>
      <c r="DK30" s="211"/>
      <c r="DL30" s="210"/>
      <c r="DM30" s="21"/>
      <c r="DN30" s="21"/>
      <c r="DO30" s="15"/>
      <c r="DP30" s="13"/>
      <c r="DQ30" s="14"/>
      <c r="DR30" s="18"/>
      <c r="DS30" s="15"/>
      <c r="DT30" s="82"/>
      <c r="DU30" s="33"/>
      <c r="DV30" s="34"/>
      <c r="DW30" s="8"/>
    </row>
    <row r="31" spans="1:127">
      <c r="A31" s="37"/>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3"/>
      <c r="AM31" s="14"/>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6"/>
      <c r="BX31" s="17"/>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9"/>
      <c r="DI31" s="61"/>
      <c r="DJ31" s="212"/>
      <c r="DK31" s="211"/>
      <c r="DL31" s="210"/>
      <c r="DM31" s="21"/>
      <c r="DN31" s="21"/>
      <c r="DO31" s="15"/>
      <c r="DP31" s="13"/>
      <c r="DQ31" s="14"/>
      <c r="DR31" s="18"/>
      <c r="DS31" s="15"/>
      <c r="DT31" s="82"/>
      <c r="DU31" s="33"/>
      <c r="DV31" s="34"/>
      <c r="DW31" s="8"/>
    </row>
    <row r="32" spans="1:127">
      <c r="A32" s="37"/>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3"/>
      <c r="AM32" s="14"/>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6"/>
      <c r="BX32" s="17"/>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9"/>
      <c r="DI32" s="61"/>
      <c r="DJ32" s="212"/>
      <c r="DK32" s="211"/>
      <c r="DL32" s="210"/>
      <c r="DM32" s="40"/>
      <c r="DN32" s="21"/>
      <c r="DO32" s="15"/>
      <c r="DP32" s="13"/>
      <c r="DQ32" s="14"/>
      <c r="DR32" s="18"/>
      <c r="DS32" s="15"/>
      <c r="DT32" s="82"/>
      <c r="DU32" s="33"/>
      <c r="DV32" s="34"/>
      <c r="DW32" s="8"/>
    </row>
    <row r="33" spans="1:127">
      <c r="A33" s="37"/>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3"/>
      <c r="AM33" s="14"/>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6"/>
      <c r="BX33" s="17"/>
      <c r="BY33" s="18"/>
      <c r="BZ33" s="18"/>
      <c r="CA33" s="18"/>
      <c r="CB33" s="18"/>
      <c r="CC33" s="18"/>
      <c r="CD33" s="18"/>
      <c r="CE33" s="18"/>
      <c r="CF33" s="18"/>
      <c r="CG33" s="18"/>
      <c r="CH33" s="18"/>
      <c r="CI33" s="18"/>
      <c r="CJ33" s="18"/>
      <c r="CK33" s="18"/>
      <c r="CL33" s="18"/>
      <c r="CM33" s="18"/>
      <c r="CN33" s="18"/>
      <c r="CO33" s="18"/>
      <c r="CP33" s="18"/>
      <c r="CQ33" s="18"/>
      <c r="CR33" s="18"/>
      <c r="CS33" s="18"/>
      <c r="CT33" s="18"/>
      <c r="CU33" s="18"/>
      <c r="CV33" s="18"/>
      <c r="CW33" s="18"/>
      <c r="CX33" s="18"/>
      <c r="CY33" s="18"/>
      <c r="CZ33" s="18"/>
      <c r="DA33" s="18"/>
      <c r="DB33" s="18"/>
      <c r="DC33" s="18"/>
      <c r="DD33" s="18"/>
      <c r="DE33" s="18"/>
      <c r="DF33" s="18"/>
      <c r="DG33" s="18"/>
      <c r="DH33" s="19"/>
      <c r="DI33" s="61"/>
      <c r="DJ33" s="212"/>
      <c r="DK33" s="211"/>
      <c r="DL33" s="210"/>
      <c r="DM33" s="21"/>
      <c r="DN33" s="21"/>
      <c r="DO33" s="15"/>
      <c r="DP33" s="13"/>
      <c r="DQ33" s="14"/>
      <c r="DR33" s="18"/>
      <c r="DS33" s="15"/>
      <c r="DT33" s="82"/>
      <c r="DU33" s="33"/>
      <c r="DV33" s="34"/>
      <c r="DW33" s="8"/>
    </row>
    <row r="34" spans="1:127">
      <c r="A34" s="37"/>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3"/>
      <c r="AM34" s="14"/>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6"/>
      <c r="BX34" s="17"/>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9"/>
      <c r="DI34" s="61"/>
      <c r="DJ34" s="212"/>
      <c r="DK34" s="211"/>
      <c r="DL34" s="210"/>
      <c r="DM34" s="40"/>
      <c r="DN34" s="40"/>
      <c r="DO34" s="15"/>
      <c r="DP34" s="13"/>
      <c r="DQ34" s="14"/>
      <c r="DR34" s="18"/>
      <c r="DS34" s="15"/>
      <c r="DT34" s="82"/>
      <c r="DU34" s="33"/>
      <c r="DV34" s="34"/>
      <c r="DW34" s="8"/>
    </row>
    <row r="35" spans="1:127">
      <c r="A35" s="37"/>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3"/>
      <c r="AM35" s="14"/>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6"/>
      <c r="BX35" s="17"/>
      <c r="BY35" s="18"/>
      <c r="BZ35" s="18"/>
      <c r="CA35" s="18"/>
      <c r="CB35" s="18"/>
      <c r="CC35" s="18"/>
      <c r="CD35" s="18"/>
      <c r="CE35" s="18"/>
      <c r="CF35" s="18"/>
      <c r="CG35" s="18"/>
      <c r="CH35" s="18"/>
      <c r="CI35" s="18"/>
      <c r="CJ35" s="18"/>
      <c r="CK35" s="18"/>
      <c r="CL35" s="18"/>
      <c r="CM35" s="18"/>
      <c r="CN35" s="18"/>
      <c r="CO35" s="18"/>
      <c r="CP35" s="18"/>
      <c r="CQ35" s="18"/>
      <c r="CR35" s="18"/>
      <c r="CS35" s="18"/>
      <c r="CT35" s="18"/>
      <c r="CU35" s="18"/>
      <c r="CV35" s="18"/>
      <c r="CW35" s="18"/>
      <c r="CX35" s="18"/>
      <c r="CY35" s="18"/>
      <c r="CZ35" s="18"/>
      <c r="DA35" s="18"/>
      <c r="DB35" s="18"/>
      <c r="DC35" s="18"/>
      <c r="DD35" s="18"/>
      <c r="DE35" s="18"/>
      <c r="DF35" s="18"/>
      <c r="DG35" s="18"/>
      <c r="DH35" s="19"/>
      <c r="DI35" s="61"/>
      <c r="DJ35" s="212"/>
      <c r="DK35" s="211"/>
      <c r="DL35" s="210"/>
      <c r="DM35" s="40"/>
      <c r="DN35" s="40"/>
      <c r="DO35" s="15"/>
      <c r="DP35" s="13"/>
      <c r="DQ35" s="14"/>
      <c r="DR35" s="18"/>
      <c r="DS35" s="15"/>
      <c r="DT35" s="82"/>
      <c r="DU35" s="33"/>
      <c r="DV35" s="34"/>
      <c r="DW35" s="8"/>
    </row>
    <row r="36" spans="1:127">
      <c r="A36" s="37"/>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3"/>
      <c r="AM36" s="14"/>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6"/>
      <c r="BX36" s="17"/>
      <c r="BY36" s="18"/>
      <c r="BZ36" s="18"/>
      <c r="CA36" s="18"/>
      <c r="CB36" s="18"/>
      <c r="CC36" s="18"/>
      <c r="CD36" s="18"/>
      <c r="CE36" s="18"/>
      <c r="CF36" s="18"/>
      <c r="CG36" s="18"/>
      <c r="CH36" s="18"/>
      <c r="CI36" s="18"/>
      <c r="CJ36" s="18"/>
      <c r="CK36" s="18"/>
      <c r="CL36" s="18"/>
      <c r="CM36" s="18"/>
      <c r="CN36" s="18"/>
      <c r="CO36" s="18"/>
      <c r="CP36" s="18"/>
      <c r="CQ36" s="18"/>
      <c r="CR36" s="18"/>
      <c r="CS36" s="18"/>
      <c r="CT36" s="18"/>
      <c r="CU36" s="18"/>
      <c r="CV36" s="18"/>
      <c r="CW36" s="18"/>
      <c r="CX36" s="18"/>
      <c r="CY36" s="18"/>
      <c r="CZ36" s="18"/>
      <c r="DA36" s="18"/>
      <c r="DB36" s="18"/>
      <c r="DC36" s="18"/>
      <c r="DD36" s="18"/>
      <c r="DE36" s="18"/>
      <c r="DF36" s="18"/>
      <c r="DG36" s="18"/>
      <c r="DH36" s="19"/>
      <c r="DI36" s="61"/>
      <c r="DJ36" s="212"/>
      <c r="DK36" s="211"/>
      <c r="DL36" s="210"/>
      <c r="DM36" s="40"/>
      <c r="DN36" s="40"/>
      <c r="DO36" s="33"/>
      <c r="DP36" s="13"/>
      <c r="DQ36" s="14"/>
      <c r="DR36" s="18"/>
      <c r="DS36" s="15"/>
      <c r="DT36" s="82"/>
      <c r="DU36" s="33"/>
      <c r="DV36" s="34"/>
      <c r="DW36" s="8"/>
    </row>
    <row r="37" spans="1:127">
      <c r="A37" s="37"/>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3"/>
      <c r="AM37" s="14"/>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6"/>
      <c r="BX37" s="17"/>
      <c r="BY37" s="18"/>
      <c r="BZ37" s="18"/>
      <c r="CA37" s="18"/>
      <c r="CB37" s="18"/>
      <c r="CC37" s="18"/>
      <c r="CD37" s="18"/>
      <c r="CE37" s="18"/>
      <c r="CF37" s="18"/>
      <c r="CG37" s="18"/>
      <c r="CH37" s="18"/>
      <c r="CI37" s="18"/>
      <c r="CJ37" s="18"/>
      <c r="CK37" s="18"/>
      <c r="CL37" s="18"/>
      <c r="CM37" s="18"/>
      <c r="CN37" s="18"/>
      <c r="CO37" s="18"/>
      <c r="CP37" s="18"/>
      <c r="CQ37" s="18"/>
      <c r="CR37" s="18"/>
      <c r="CS37" s="18"/>
      <c r="CT37" s="18"/>
      <c r="CU37" s="18"/>
      <c r="CV37" s="18"/>
      <c r="CW37" s="18"/>
      <c r="CX37" s="18"/>
      <c r="CY37" s="18"/>
      <c r="CZ37" s="18"/>
      <c r="DA37" s="18"/>
      <c r="DB37" s="18"/>
      <c r="DC37" s="18"/>
      <c r="DD37" s="18"/>
      <c r="DE37" s="18"/>
      <c r="DF37" s="18"/>
      <c r="DG37" s="18"/>
      <c r="DH37" s="19"/>
      <c r="DI37" s="61"/>
      <c r="DJ37" s="212"/>
      <c r="DK37" s="211"/>
      <c r="DL37" s="210"/>
      <c r="DM37" s="40"/>
      <c r="DN37" s="40"/>
      <c r="DO37" s="15"/>
      <c r="DP37" s="13"/>
      <c r="DQ37" s="14"/>
      <c r="DR37" s="18"/>
      <c r="DS37" s="15"/>
      <c r="DT37" s="82"/>
      <c r="DU37" s="33"/>
      <c r="DV37" s="34"/>
      <c r="DW37" s="8"/>
    </row>
    <row r="38" spans="1:127">
      <c r="A38" s="37"/>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3"/>
      <c r="AM38" s="14"/>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6"/>
      <c r="BX38" s="17"/>
      <c r="BY38" s="18"/>
      <c r="BZ38" s="18"/>
      <c r="CA38" s="18"/>
      <c r="CB38" s="18"/>
      <c r="CC38" s="18"/>
      <c r="CD38" s="18"/>
      <c r="CE38" s="18"/>
      <c r="CF38" s="18"/>
      <c r="CG38" s="18"/>
      <c r="CH38" s="18"/>
      <c r="CI38" s="18"/>
      <c r="CJ38" s="18"/>
      <c r="CK38" s="18"/>
      <c r="CL38" s="18"/>
      <c r="CM38" s="18"/>
      <c r="CN38" s="18"/>
      <c r="CO38" s="18"/>
      <c r="CP38" s="18"/>
      <c r="CQ38" s="18"/>
      <c r="CR38" s="18"/>
      <c r="CS38" s="18"/>
      <c r="CT38" s="18"/>
      <c r="CU38" s="18"/>
      <c r="CV38" s="18"/>
      <c r="CW38" s="18"/>
      <c r="CX38" s="18"/>
      <c r="CY38" s="18"/>
      <c r="CZ38" s="18"/>
      <c r="DA38" s="18"/>
      <c r="DB38" s="18"/>
      <c r="DC38" s="18"/>
      <c r="DD38" s="18"/>
      <c r="DE38" s="18"/>
      <c r="DF38" s="18"/>
      <c r="DG38" s="18"/>
      <c r="DH38" s="19"/>
      <c r="DI38" s="61"/>
      <c r="DJ38" s="212"/>
      <c r="DK38" s="211"/>
      <c r="DL38" s="210"/>
      <c r="DM38" s="40"/>
      <c r="DN38" s="40"/>
      <c r="DO38" s="15"/>
      <c r="DP38" s="13"/>
      <c r="DQ38" s="14"/>
      <c r="DR38" s="18"/>
      <c r="DS38" s="15"/>
      <c r="DT38" s="82"/>
      <c r="DU38" s="33"/>
      <c r="DV38" s="34"/>
      <c r="DW38" s="8"/>
    </row>
    <row r="39" spans="1:127">
      <c r="A39" s="37"/>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3"/>
      <c r="AM39" s="14"/>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6"/>
      <c r="BX39" s="17"/>
      <c r="BY39" s="18"/>
      <c r="BZ39" s="18"/>
      <c r="CA39" s="18"/>
      <c r="CB39" s="18"/>
      <c r="CC39" s="18"/>
      <c r="CD39" s="18"/>
      <c r="CE39" s="18"/>
      <c r="CF39" s="18"/>
      <c r="CG39" s="18"/>
      <c r="CH39" s="18"/>
      <c r="CI39" s="18"/>
      <c r="CJ39" s="18"/>
      <c r="CK39" s="18"/>
      <c r="CL39" s="18"/>
      <c r="CM39" s="18"/>
      <c r="CN39" s="18"/>
      <c r="CO39" s="18"/>
      <c r="CP39" s="18"/>
      <c r="CQ39" s="18"/>
      <c r="CR39" s="18"/>
      <c r="CS39" s="18"/>
      <c r="CT39" s="18"/>
      <c r="CU39" s="18"/>
      <c r="CV39" s="18"/>
      <c r="CW39" s="18"/>
      <c r="CX39" s="18"/>
      <c r="CY39" s="18"/>
      <c r="CZ39" s="18"/>
      <c r="DA39" s="18"/>
      <c r="DB39" s="18"/>
      <c r="DC39" s="18"/>
      <c r="DD39" s="18"/>
      <c r="DE39" s="18"/>
      <c r="DF39" s="18"/>
      <c r="DG39" s="18"/>
      <c r="DH39" s="19"/>
      <c r="DI39" s="61"/>
      <c r="DJ39" s="212"/>
      <c r="DK39" s="211"/>
      <c r="DL39" s="210"/>
      <c r="DM39" s="40"/>
      <c r="DN39" s="40"/>
      <c r="DO39" s="15"/>
      <c r="DP39" s="13"/>
      <c r="DQ39" s="14"/>
      <c r="DR39" s="18"/>
      <c r="DS39" s="15"/>
      <c r="DT39" s="82"/>
      <c r="DU39" s="33"/>
      <c r="DV39" s="34"/>
      <c r="DW39" s="8"/>
    </row>
    <row r="40" spans="1:127">
      <c r="A40" s="37"/>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3"/>
      <c r="AM40" s="14"/>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6"/>
      <c r="BX40" s="17"/>
      <c r="BY40" s="18"/>
      <c r="BZ40" s="18"/>
      <c r="CA40" s="18"/>
      <c r="CB40" s="18"/>
      <c r="CC40" s="18"/>
      <c r="CD40" s="18"/>
      <c r="CE40" s="18"/>
      <c r="CF40" s="18"/>
      <c r="CG40" s="18"/>
      <c r="CH40" s="18"/>
      <c r="CI40" s="18"/>
      <c r="CJ40" s="18"/>
      <c r="CK40" s="18"/>
      <c r="CL40" s="18"/>
      <c r="CM40" s="18"/>
      <c r="CN40" s="18"/>
      <c r="CO40" s="18"/>
      <c r="CP40" s="18"/>
      <c r="CQ40" s="18"/>
      <c r="CR40" s="18"/>
      <c r="CS40" s="18"/>
      <c r="CT40" s="18"/>
      <c r="CU40" s="18"/>
      <c r="CV40" s="18"/>
      <c r="CW40" s="18"/>
      <c r="CX40" s="18"/>
      <c r="CY40" s="18"/>
      <c r="CZ40" s="18"/>
      <c r="DA40" s="18"/>
      <c r="DB40" s="18"/>
      <c r="DC40" s="18"/>
      <c r="DD40" s="18"/>
      <c r="DE40" s="18"/>
      <c r="DF40" s="18"/>
      <c r="DG40" s="18"/>
      <c r="DH40" s="19"/>
      <c r="DI40" s="61"/>
      <c r="DJ40" s="208"/>
      <c r="DK40" s="211"/>
      <c r="DL40" s="210"/>
      <c r="DM40" s="21"/>
      <c r="DN40" s="40"/>
      <c r="DO40" s="15"/>
      <c r="DP40" s="13"/>
      <c r="DQ40" s="14"/>
      <c r="DR40" s="18"/>
      <c r="DS40" s="15"/>
      <c r="DT40" s="82"/>
      <c r="DU40" s="33"/>
      <c r="DV40" s="34"/>
      <c r="DW40" s="8"/>
    </row>
    <row r="41" spans="1:127">
      <c r="A41" s="37"/>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3"/>
      <c r="AM41" s="14"/>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6"/>
      <c r="BX41" s="17"/>
      <c r="BY41" s="18"/>
      <c r="BZ41" s="18"/>
      <c r="CA41" s="18"/>
      <c r="CB41" s="18"/>
      <c r="CC41" s="18"/>
      <c r="CD41" s="18"/>
      <c r="CE41" s="18"/>
      <c r="CF41" s="18"/>
      <c r="CG41" s="18"/>
      <c r="CH41" s="18"/>
      <c r="CI41" s="18"/>
      <c r="CJ41" s="18"/>
      <c r="CK41" s="18"/>
      <c r="CL41" s="18"/>
      <c r="CM41" s="18"/>
      <c r="CN41" s="18"/>
      <c r="CO41" s="18"/>
      <c r="CP41" s="18"/>
      <c r="CQ41" s="18"/>
      <c r="CR41" s="18"/>
      <c r="CS41" s="18"/>
      <c r="CT41" s="18"/>
      <c r="CU41" s="18"/>
      <c r="CV41" s="18"/>
      <c r="CW41" s="18"/>
      <c r="CX41" s="18"/>
      <c r="CY41" s="18"/>
      <c r="CZ41" s="18"/>
      <c r="DA41" s="18"/>
      <c r="DB41" s="18"/>
      <c r="DC41" s="18"/>
      <c r="DD41" s="18"/>
      <c r="DE41" s="18"/>
      <c r="DF41" s="18"/>
      <c r="DG41" s="18"/>
      <c r="DH41" s="19"/>
      <c r="DI41" s="62"/>
      <c r="DJ41" s="212"/>
      <c r="DK41" s="211"/>
      <c r="DL41" s="213"/>
      <c r="DM41" s="21"/>
      <c r="DN41" s="21"/>
      <c r="DO41" s="15"/>
      <c r="DP41" s="13"/>
      <c r="DQ41" s="14"/>
      <c r="DR41" s="18"/>
      <c r="DS41" s="15"/>
      <c r="DT41" s="82"/>
      <c r="DU41" s="33"/>
      <c r="DV41" s="34"/>
      <c r="DW41" s="8"/>
    </row>
    <row r="42" spans="1:127">
      <c r="A42" s="37"/>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3"/>
      <c r="AM42" s="14"/>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6"/>
      <c r="BX42" s="17"/>
      <c r="BY42" s="18"/>
      <c r="BZ42" s="18"/>
      <c r="CA42" s="18"/>
      <c r="CB42" s="18"/>
      <c r="CC42" s="18"/>
      <c r="CD42" s="18"/>
      <c r="CE42" s="18"/>
      <c r="CF42" s="18"/>
      <c r="CG42" s="18"/>
      <c r="CH42" s="18"/>
      <c r="CI42" s="18"/>
      <c r="CJ42" s="18"/>
      <c r="CK42" s="18"/>
      <c r="CL42" s="18"/>
      <c r="CM42" s="18"/>
      <c r="CN42" s="18"/>
      <c r="CO42" s="18"/>
      <c r="CP42" s="18"/>
      <c r="CQ42" s="18"/>
      <c r="CR42" s="18"/>
      <c r="CS42" s="18"/>
      <c r="CT42" s="18"/>
      <c r="CU42" s="18"/>
      <c r="CV42" s="18"/>
      <c r="CW42" s="18"/>
      <c r="CX42" s="18"/>
      <c r="CY42" s="18"/>
      <c r="CZ42" s="18"/>
      <c r="DA42" s="18"/>
      <c r="DB42" s="18"/>
      <c r="DC42" s="18"/>
      <c r="DD42" s="18"/>
      <c r="DE42" s="18"/>
      <c r="DF42" s="18"/>
      <c r="DG42" s="18"/>
      <c r="DH42" s="19"/>
      <c r="DI42" s="39"/>
      <c r="DJ42" s="212"/>
      <c r="DK42" s="211"/>
      <c r="DL42" s="213"/>
      <c r="DM42" s="40"/>
      <c r="DN42" s="21"/>
      <c r="DO42" s="15"/>
      <c r="DP42" s="13"/>
      <c r="DQ42" s="14"/>
      <c r="DR42" s="18"/>
      <c r="DS42" s="15"/>
      <c r="DT42" s="82"/>
      <c r="DU42" s="33"/>
      <c r="DV42" s="34"/>
      <c r="DW42" s="8"/>
    </row>
    <row r="43" spans="1:127">
      <c r="A43" s="37"/>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3"/>
      <c r="AM43" s="14"/>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6"/>
      <c r="BX43" s="17"/>
      <c r="BY43" s="18"/>
      <c r="BZ43" s="18"/>
      <c r="CA43" s="18"/>
      <c r="CB43" s="18"/>
      <c r="CC43" s="18"/>
      <c r="CD43" s="18"/>
      <c r="CE43" s="18"/>
      <c r="CF43" s="18"/>
      <c r="CG43" s="18"/>
      <c r="CH43" s="18"/>
      <c r="CI43" s="18"/>
      <c r="CJ43" s="18"/>
      <c r="CK43" s="18"/>
      <c r="CL43" s="18"/>
      <c r="CM43" s="18"/>
      <c r="CN43" s="18"/>
      <c r="CO43" s="18"/>
      <c r="CP43" s="18"/>
      <c r="CQ43" s="18"/>
      <c r="CR43" s="18"/>
      <c r="CS43" s="18"/>
      <c r="CT43" s="18"/>
      <c r="CU43" s="18"/>
      <c r="CV43" s="18"/>
      <c r="CW43" s="18"/>
      <c r="CX43" s="18"/>
      <c r="CY43" s="18"/>
      <c r="CZ43" s="18"/>
      <c r="DA43" s="18"/>
      <c r="DB43" s="18"/>
      <c r="DC43" s="18"/>
      <c r="DD43" s="18"/>
      <c r="DE43" s="18"/>
      <c r="DF43" s="18"/>
      <c r="DG43" s="18"/>
      <c r="DH43" s="19"/>
      <c r="DI43" s="39"/>
      <c r="DJ43" s="212"/>
      <c r="DK43" s="211"/>
      <c r="DL43" s="213"/>
      <c r="DM43" s="40"/>
      <c r="DN43" s="40"/>
      <c r="DO43" s="15"/>
      <c r="DP43" s="13"/>
      <c r="DQ43" s="14"/>
      <c r="DR43" s="18"/>
      <c r="DS43" s="15"/>
      <c r="DT43" s="82"/>
      <c r="DU43" s="33"/>
      <c r="DV43" s="34"/>
      <c r="DW43" s="8"/>
    </row>
    <row r="44" spans="1:127">
      <c r="A44" s="37"/>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3"/>
      <c r="AM44" s="14"/>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6"/>
      <c r="BX44" s="17"/>
      <c r="BY44" s="18"/>
      <c r="BZ44" s="18"/>
      <c r="CA44" s="18"/>
      <c r="CB44" s="18"/>
      <c r="CC44" s="18"/>
      <c r="CD44" s="18"/>
      <c r="CE44" s="18"/>
      <c r="CF44" s="18"/>
      <c r="CG44" s="18"/>
      <c r="CH44" s="18"/>
      <c r="CI44" s="18"/>
      <c r="CJ44" s="18"/>
      <c r="CK44" s="18"/>
      <c r="CL44" s="18"/>
      <c r="CM44" s="18"/>
      <c r="CN44" s="18"/>
      <c r="CO44" s="18"/>
      <c r="CP44" s="18"/>
      <c r="CQ44" s="18"/>
      <c r="CR44" s="18"/>
      <c r="CS44" s="18"/>
      <c r="CT44" s="18"/>
      <c r="CU44" s="18"/>
      <c r="CV44" s="18"/>
      <c r="CW44" s="18"/>
      <c r="CX44" s="18"/>
      <c r="CY44" s="18"/>
      <c r="CZ44" s="18"/>
      <c r="DA44" s="18"/>
      <c r="DB44" s="18"/>
      <c r="DC44" s="18"/>
      <c r="DD44" s="18"/>
      <c r="DE44" s="18"/>
      <c r="DF44" s="18"/>
      <c r="DG44" s="18"/>
      <c r="DH44" s="19"/>
      <c r="DI44" s="39"/>
      <c r="DJ44" s="212"/>
      <c r="DK44" s="211"/>
      <c r="DL44" s="213"/>
      <c r="DM44" s="40"/>
      <c r="DN44" s="40"/>
      <c r="DO44" s="15"/>
      <c r="DP44" s="13"/>
      <c r="DQ44" s="14"/>
      <c r="DR44" s="18"/>
      <c r="DS44" s="15"/>
      <c r="DT44" s="82"/>
      <c r="DU44" s="33"/>
      <c r="DV44" s="34"/>
      <c r="DW44" s="8"/>
    </row>
    <row r="45" spans="1:127">
      <c r="A45" s="37"/>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3"/>
      <c r="AM45" s="14"/>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6"/>
      <c r="BX45" s="17"/>
      <c r="BY45" s="18"/>
      <c r="BZ45" s="18"/>
      <c r="CA45" s="18"/>
      <c r="CB45" s="18"/>
      <c r="CC45" s="18"/>
      <c r="CD45" s="18"/>
      <c r="CE45" s="18"/>
      <c r="CF45" s="18"/>
      <c r="CG45" s="18"/>
      <c r="CH45" s="18"/>
      <c r="CI45" s="18"/>
      <c r="CJ45" s="18"/>
      <c r="CK45" s="18"/>
      <c r="CL45" s="18"/>
      <c r="CM45" s="18"/>
      <c r="CN45" s="18"/>
      <c r="CO45" s="18"/>
      <c r="CP45" s="18"/>
      <c r="CQ45" s="18"/>
      <c r="CR45" s="18"/>
      <c r="CS45" s="18"/>
      <c r="CT45" s="18"/>
      <c r="CU45" s="18"/>
      <c r="CV45" s="18"/>
      <c r="CW45" s="18"/>
      <c r="CX45" s="18"/>
      <c r="CY45" s="18"/>
      <c r="CZ45" s="18"/>
      <c r="DA45" s="18"/>
      <c r="DB45" s="18"/>
      <c r="DC45" s="18"/>
      <c r="DD45" s="18"/>
      <c r="DE45" s="18"/>
      <c r="DF45" s="18"/>
      <c r="DG45" s="18"/>
      <c r="DH45" s="19"/>
      <c r="DI45" s="39"/>
      <c r="DJ45" s="212"/>
      <c r="DK45" s="211"/>
      <c r="DL45" s="213"/>
      <c r="DM45" s="40"/>
      <c r="DN45" s="40"/>
      <c r="DO45" s="33"/>
      <c r="DP45" s="42"/>
      <c r="DQ45" s="14"/>
      <c r="DR45" s="18"/>
      <c r="DS45" s="15"/>
      <c r="DT45" s="82"/>
      <c r="DU45" s="33"/>
      <c r="DV45" s="34"/>
      <c r="DW45" s="8"/>
    </row>
    <row r="46" spans="1:127">
      <c r="A46" s="37"/>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3"/>
      <c r="AM46" s="14"/>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6"/>
      <c r="BX46" s="17"/>
      <c r="BY46" s="18"/>
      <c r="BZ46" s="18"/>
      <c r="CA46" s="18"/>
      <c r="CB46" s="18"/>
      <c r="CC46" s="18"/>
      <c r="CD46" s="18"/>
      <c r="CE46" s="18"/>
      <c r="CF46" s="18"/>
      <c r="CG46" s="18"/>
      <c r="CH46" s="18"/>
      <c r="CI46" s="18"/>
      <c r="CJ46" s="18"/>
      <c r="CK46" s="18"/>
      <c r="CL46" s="18"/>
      <c r="CM46" s="18"/>
      <c r="CN46" s="18"/>
      <c r="CO46" s="18"/>
      <c r="CP46" s="18"/>
      <c r="CQ46" s="18"/>
      <c r="CR46" s="18"/>
      <c r="CS46" s="18"/>
      <c r="CT46" s="18"/>
      <c r="CU46" s="18"/>
      <c r="CV46" s="18"/>
      <c r="CW46" s="18"/>
      <c r="CX46" s="18"/>
      <c r="CY46" s="18"/>
      <c r="CZ46" s="18"/>
      <c r="DA46" s="18"/>
      <c r="DB46" s="18"/>
      <c r="DC46" s="18"/>
      <c r="DD46" s="18"/>
      <c r="DE46" s="18"/>
      <c r="DF46" s="18"/>
      <c r="DG46" s="18"/>
      <c r="DH46" s="19"/>
      <c r="DI46" s="39"/>
      <c r="DJ46" s="212"/>
      <c r="DK46" s="211"/>
      <c r="DL46" s="213"/>
      <c r="DM46" s="40"/>
      <c r="DN46" s="40"/>
      <c r="DO46" s="33"/>
      <c r="DP46" s="42"/>
      <c r="DQ46" s="14"/>
      <c r="DR46" s="18"/>
      <c r="DS46" s="15"/>
      <c r="DT46" s="82"/>
      <c r="DU46" s="33"/>
      <c r="DV46" s="34"/>
      <c r="DW46" s="8"/>
    </row>
    <row r="47" spans="1:127">
      <c r="A47" s="37"/>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3"/>
      <c r="AM47" s="14"/>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6"/>
      <c r="BX47" s="17"/>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9"/>
      <c r="DI47" s="39"/>
      <c r="DJ47" s="212"/>
      <c r="DK47" s="211"/>
      <c r="DL47" s="213"/>
      <c r="DM47" s="40"/>
      <c r="DN47" s="40"/>
      <c r="DO47" s="15"/>
      <c r="DP47" s="13"/>
      <c r="DQ47" s="14"/>
      <c r="DR47" s="18"/>
      <c r="DS47" s="15"/>
      <c r="DT47" s="82"/>
      <c r="DU47" s="33"/>
      <c r="DV47" s="34"/>
      <c r="DW47" s="8"/>
    </row>
    <row r="48" spans="1:127">
      <c r="A48" s="37"/>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3"/>
      <c r="AM48" s="14"/>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6"/>
      <c r="BX48" s="17"/>
      <c r="BY48" s="18"/>
      <c r="BZ48" s="18"/>
      <c r="CA48" s="18"/>
      <c r="CB48" s="18"/>
      <c r="CC48" s="18"/>
      <c r="CD48" s="18"/>
      <c r="CE48" s="18"/>
      <c r="CF48" s="18"/>
      <c r="CG48" s="18"/>
      <c r="CH48" s="18"/>
      <c r="CI48" s="18"/>
      <c r="CJ48" s="18"/>
      <c r="CK48" s="18"/>
      <c r="CL48" s="18"/>
      <c r="CM48" s="18"/>
      <c r="CN48" s="18"/>
      <c r="CO48" s="18"/>
      <c r="CP48" s="18"/>
      <c r="CQ48" s="18"/>
      <c r="CR48" s="18"/>
      <c r="CS48" s="18"/>
      <c r="CT48" s="18"/>
      <c r="CU48" s="18"/>
      <c r="CV48" s="18"/>
      <c r="CW48" s="18"/>
      <c r="CX48" s="18"/>
      <c r="CY48" s="18"/>
      <c r="CZ48" s="18"/>
      <c r="DA48" s="18"/>
      <c r="DB48" s="18"/>
      <c r="DC48" s="18"/>
      <c r="DD48" s="18"/>
      <c r="DE48" s="18"/>
      <c r="DF48" s="18"/>
      <c r="DG48" s="18"/>
      <c r="DH48" s="19"/>
      <c r="DI48" s="39"/>
      <c r="DJ48" s="212"/>
      <c r="DK48" s="211"/>
      <c r="DL48" s="213"/>
      <c r="DM48" s="40"/>
      <c r="DN48" s="40"/>
      <c r="DO48" s="15"/>
      <c r="DP48" s="13"/>
      <c r="DQ48" s="14"/>
      <c r="DR48" s="18"/>
      <c r="DS48" s="15"/>
      <c r="DT48" s="82"/>
      <c r="DU48" s="33"/>
      <c r="DV48" s="34"/>
      <c r="DW48" s="8"/>
    </row>
    <row r="49" spans="1:127">
      <c r="A49" s="37"/>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3"/>
      <c r="AM49" s="14"/>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6"/>
      <c r="BX49" s="17"/>
      <c r="BY49" s="18"/>
      <c r="BZ49" s="18"/>
      <c r="CA49" s="18"/>
      <c r="CB49" s="18"/>
      <c r="CC49" s="18"/>
      <c r="CD49" s="18"/>
      <c r="CE49" s="18"/>
      <c r="CF49" s="18"/>
      <c r="CG49" s="18"/>
      <c r="CH49" s="18"/>
      <c r="CI49" s="18"/>
      <c r="CJ49" s="18"/>
      <c r="CK49" s="18"/>
      <c r="CL49" s="18"/>
      <c r="CM49" s="18"/>
      <c r="CN49" s="18"/>
      <c r="CO49" s="18"/>
      <c r="CP49" s="18"/>
      <c r="CQ49" s="18"/>
      <c r="CR49" s="18"/>
      <c r="CS49" s="18"/>
      <c r="CT49" s="18"/>
      <c r="CU49" s="18"/>
      <c r="CV49" s="18"/>
      <c r="CW49" s="18"/>
      <c r="CX49" s="18"/>
      <c r="CY49" s="18"/>
      <c r="CZ49" s="18"/>
      <c r="DA49" s="18"/>
      <c r="DB49" s="18"/>
      <c r="DC49" s="18"/>
      <c r="DD49" s="18"/>
      <c r="DE49" s="18"/>
      <c r="DF49" s="18"/>
      <c r="DG49" s="18"/>
      <c r="DH49" s="19"/>
      <c r="DI49" s="39"/>
      <c r="DJ49" s="212"/>
      <c r="DK49" s="211"/>
      <c r="DL49" s="213"/>
      <c r="DM49" s="40"/>
      <c r="DN49" s="40"/>
      <c r="DO49" s="15"/>
      <c r="DP49" s="13"/>
      <c r="DQ49" s="14"/>
      <c r="DR49" s="18"/>
      <c r="DS49" s="15"/>
      <c r="DT49" s="82"/>
      <c r="DU49" s="33"/>
      <c r="DV49" s="34"/>
      <c r="DW49" s="8"/>
    </row>
    <row r="50" spans="1:127">
      <c r="A50" s="37"/>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3"/>
      <c r="AM50" s="14"/>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6"/>
      <c r="BX50" s="17"/>
      <c r="BY50" s="18"/>
      <c r="BZ50" s="18"/>
      <c r="CA50" s="18"/>
      <c r="CB50" s="18"/>
      <c r="CC50" s="18"/>
      <c r="CD50" s="18"/>
      <c r="CE50" s="18"/>
      <c r="CF50" s="18"/>
      <c r="CG50" s="18"/>
      <c r="CH50" s="18"/>
      <c r="CI50" s="18"/>
      <c r="CJ50" s="18"/>
      <c r="CK50" s="18"/>
      <c r="CL50" s="18"/>
      <c r="CM50" s="18"/>
      <c r="CN50" s="18"/>
      <c r="CO50" s="18"/>
      <c r="CP50" s="18"/>
      <c r="CQ50" s="18"/>
      <c r="CR50" s="18"/>
      <c r="CS50" s="18"/>
      <c r="CT50" s="18"/>
      <c r="CU50" s="18"/>
      <c r="CV50" s="18"/>
      <c r="CW50" s="18"/>
      <c r="CX50" s="18"/>
      <c r="CY50" s="18"/>
      <c r="CZ50" s="18"/>
      <c r="DA50" s="18"/>
      <c r="DB50" s="18"/>
      <c r="DC50" s="18"/>
      <c r="DD50" s="18"/>
      <c r="DE50" s="18"/>
      <c r="DF50" s="18"/>
      <c r="DG50" s="18"/>
      <c r="DH50" s="19"/>
      <c r="DI50" s="11"/>
      <c r="DJ50" s="208"/>
      <c r="DK50" s="209"/>
      <c r="DL50" s="210"/>
      <c r="DM50" s="21"/>
      <c r="DN50" s="21"/>
      <c r="DO50" s="15"/>
      <c r="DP50" s="13"/>
      <c r="DQ50" s="14"/>
      <c r="DR50" s="18"/>
      <c r="DS50" s="15"/>
      <c r="DT50" s="82"/>
      <c r="DU50" s="33"/>
      <c r="DV50" s="34"/>
      <c r="DW50" s="8"/>
    </row>
    <row r="51" spans="1:127">
      <c r="A51" s="37"/>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3"/>
      <c r="AM51" s="14"/>
      <c r="AN51" s="15"/>
      <c r="AO51" s="15"/>
      <c r="AP51" s="15"/>
      <c r="AQ51" s="15"/>
      <c r="AR51" s="15"/>
      <c r="AS51" s="15"/>
      <c r="AT51" s="15"/>
      <c r="AU51" s="15"/>
      <c r="AV51" s="15"/>
      <c r="AW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6"/>
      <c r="BX51" s="17"/>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9"/>
      <c r="DI51" s="11"/>
      <c r="DJ51" s="208"/>
      <c r="DK51" s="209"/>
      <c r="DL51" s="210"/>
      <c r="DM51" s="21"/>
      <c r="DN51" s="21"/>
      <c r="DO51" s="15"/>
      <c r="DP51" s="13"/>
      <c r="DQ51" s="14"/>
      <c r="DR51" s="18"/>
      <c r="DS51" s="15"/>
      <c r="DT51" s="82"/>
      <c r="DU51" s="33"/>
      <c r="DV51" s="34"/>
      <c r="DW51" s="8"/>
    </row>
    <row r="52" spans="1:127">
      <c r="A52" s="37"/>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3"/>
      <c r="AM52" s="14"/>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6"/>
      <c r="BX52" s="17"/>
      <c r="BY52" s="18"/>
      <c r="BZ52" s="18"/>
      <c r="CA52" s="18"/>
      <c r="CB52" s="18"/>
      <c r="CC52" s="18"/>
      <c r="CD52" s="18"/>
      <c r="CE52" s="18"/>
      <c r="CF52" s="18"/>
      <c r="CG52" s="18"/>
      <c r="CH52" s="18"/>
      <c r="CI52" s="18"/>
      <c r="CJ52" s="18"/>
      <c r="CK52" s="18"/>
      <c r="CL52" s="18"/>
      <c r="CM52" s="18"/>
      <c r="CN52" s="18"/>
      <c r="CO52" s="18"/>
      <c r="CP52" s="18"/>
      <c r="CQ52" s="18"/>
      <c r="CR52" s="18"/>
      <c r="CS52" s="18"/>
      <c r="CT52" s="18"/>
      <c r="CU52" s="18"/>
      <c r="CV52" s="18"/>
      <c r="CW52" s="18"/>
      <c r="CX52" s="18"/>
      <c r="CY52" s="18"/>
      <c r="CZ52" s="18"/>
      <c r="DA52" s="18"/>
      <c r="DB52" s="18"/>
      <c r="DC52" s="18"/>
      <c r="DD52" s="18"/>
      <c r="DE52" s="18"/>
      <c r="DF52" s="18"/>
      <c r="DG52" s="18"/>
      <c r="DH52" s="19"/>
      <c r="DI52" s="11"/>
      <c r="DJ52" s="208"/>
      <c r="DK52" s="209"/>
      <c r="DL52" s="210"/>
      <c r="DM52" s="21"/>
      <c r="DN52" s="21"/>
      <c r="DO52" s="15"/>
      <c r="DP52" s="13"/>
      <c r="DQ52" s="14"/>
      <c r="DR52" s="18"/>
      <c r="DS52" s="15"/>
      <c r="DT52" s="82"/>
      <c r="DU52" s="33"/>
      <c r="DV52" s="34"/>
      <c r="DW52" s="8"/>
    </row>
    <row r="53" spans="1:127">
      <c r="A53" s="37"/>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3"/>
      <c r="AM53" s="14"/>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6"/>
      <c r="BX53" s="17"/>
      <c r="BY53" s="18"/>
      <c r="BZ53" s="18"/>
      <c r="CA53" s="18"/>
      <c r="CB53" s="18"/>
      <c r="CC53" s="18"/>
      <c r="CD53" s="18"/>
      <c r="CE53" s="18"/>
      <c r="CF53" s="18"/>
      <c r="CG53" s="18"/>
      <c r="CH53" s="18"/>
      <c r="CI53" s="18"/>
      <c r="CJ53" s="18"/>
      <c r="CK53" s="18"/>
      <c r="CL53" s="18"/>
      <c r="CM53" s="18"/>
      <c r="CN53" s="18"/>
      <c r="CO53" s="18"/>
      <c r="CP53" s="18"/>
      <c r="CQ53" s="18"/>
      <c r="CR53" s="18"/>
      <c r="CS53" s="18"/>
      <c r="CT53" s="18"/>
      <c r="CU53" s="18"/>
      <c r="CV53" s="18"/>
      <c r="CW53" s="18"/>
      <c r="CX53" s="18"/>
      <c r="CY53" s="18"/>
      <c r="CZ53" s="18"/>
      <c r="DA53" s="18"/>
      <c r="DB53" s="18"/>
      <c r="DC53" s="18"/>
      <c r="DD53" s="18"/>
      <c r="DE53" s="18"/>
      <c r="DF53" s="18"/>
      <c r="DG53" s="18"/>
      <c r="DH53" s="19"/>
      <c r="DI53" s="11"/>
      <c r="DJ53" s="208"/>
      <c r="DK53" s="209"/>
      <c r="DL53" s="210"/>
      <c r="DM53" s="21"/>
      <c r="DN53" s="21"/>
      <c r="DO53" s="15"/>
      <c r="DP53" s="13"/>
      <c r="DQ53" s="14"/>
      <c r="DR53" s="18"/>
      <c r="DS53" s="15"/>
      <c r="DT53" s="82"/>
      <c r="DU53" s="33"/>
      <c r="DV53" s="34"/>
      <c r="DW53" s="8"/>
    </row>
    <row r="54" spans="1:127">
      <c r="A54" s="37"/>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3"/>
      <c r="AM54" s="14"/>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6"/>
      <c r="BX54" s="17"/>
      <c r="BY54" s="18"/>
      <c r="BZ54" s="18"/>
      <c r="CA54" s="18"/>
      <c r="CB54" s="18"/>
      <c r="CC54" s="18"/>
      <c r="CD54" s="18"/>
      <c r="CE54" s="18"/>
      <c r="CF54" s="18"/>
      <c r="CG54" s="18"/>
      <c r="CH54" s="18"/>
      <c r="CI54" s="18"/>
      <c r="CJ54" s="18"/>
      <c r="CK54" s="18"/>
      <c r="CL54" s="18"/>
      <c r="CM54" s="18"/>
      <c r="CN54" s="18"/>
      <c r="CO54" s="18"/>
      <c r="CP54" s="18"/>
      <c r="CQ54" s="18"/>
      <c r="CR54" s="18"/>
      <c r="CS54" s="18"/>
      <c r="CT54" s="18"/>
      <c r="CU54" s="18"/>
      <c r="CV54" s="18"/>
      <c r="CW54" s="18"/>
      <c r="CX54" s="18"/>
      <c r="CY54" s="18"/>
      <c r="CZ54" s="18"/>
      <c r="DA54" s="18"/>
      <c r="DB54" s="18"/>
      <c r="DC54" s="18"/>
      <c r="DD54" s="18"/>
      <c r="DE54" s="18"/>
      <c r="DF54" s="18"/>
      <c r="DG54" s="18"/>
      <c r="DH54" s="19"/>
      <c r="DI54" s="11"/>
      <c r="DJ54" s="208"/>
      <c r="DK54" s="209"/>
      <c r="DL54" s="210"/>
      <c r="DM54" s="21"/>
      <c r="DN54" s="21"/>
      <c r="DO54" s="15"/>
      <c r="DP54" s="13"/>
      <c r="DQ54" s="14"/>
      <c r="DR54" s="18"/>
      <c r="DS54" s="15"/>
      <c r="DT54" s="82"/>
      <c r="DU54" s="33"/>
      <c r="DV54" s="34"/>
      <c r="DW54" s="8"/>
    </row>
    <row r="55" spans="1:127">
      <c r="A55" s="37"/>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3"/>
      <c r="AM55" s="14"/>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6"/>
      <c r="BX55" s="17"/>
      <c r="BY55" s="18"/>
      <c r="BZ55" s="18"/>
      <c r="CA55" s="18"/>
      <c r="CB55" s="18"/>
      <c r="CC55" s="18"/>
      <c r="CD55" s="18"/>
      <c r="CE55" s="18"/>
      <c r="CF55" s="18"/>
      <c r="CG55" s="18"/>
      <c r="CH55" s="18"/>
      <c r="CI55" s="18"/>
      <c r="CJ55" s="18"/>
      <c r="CK55" s="18"/>
      <c r="CL55" s="18"/>
      <c r="CM55" s="18"/>
      <c r="CN55" s="18"/>
      <c r="CO55" s="18"/>
      <c r="CP55" s="18"/>
      <c r="CQ55" s="18"/>
      <c r="CR55" s="18"/>
      <c r="CS55" s="18"/>
      <c r="CT55" s="18"/>
      <c r="CU55" s="18"/>
      <c r="CV55" s="18"/>
      <c r="CW55" s="18"/>
      <c r="CX55" s="18"/>
      <c r="CY55" s="18"/>
      <c r="CZ55" s="18"/>
      <c r="DA55" s="18"/>
      <c r="DB55" s="18"/>
      <c r="DC55" s="18"/>
      <c r="DD55" s="18"/>
      <c r="DE55" s="18"/>
      <c r="DF55" s="18"/>
      <c r="DG55" s="18"/>
      <c r="DH55" s="19"/>
      <c r="DI55" s="11"/>
      <c r="DJ55" s="208"/>
      <c r="DK55" s="209"/>
      <c r="DL55" s="210"/>
      <c r="DM55" s="21"/>
      <c r="DN55" s="21"/>
      <c r="DO55" s="15"/>
      <c r="DP55" s="13"/>
      <c r="DQ55" s="14"/>
      <c r="DR55" s="18"/>
      <c r="DS55" s="15"/>
      <c r="DT55" s="82"/>
      <c r="DU55" s="33"/>
      <c r="DV55" s="34"/>
      <c r="DW55" s="8"/>
    </row>
    <row r="56" spans="1:127">
      <c r="A56" s="37"/>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3"/>
      <c r="AM56" s="14"/>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6"/>
      <c r="BX56" s="17"/>
      <c r="BY56" s="18"/>
      <c r="BZ56" s="18"/>
      <c r="CA56" s="18"/>
      <c r="CB56" s="18"/>
      <c r="CC56" s="18"/>
      <c r="CD56" s="18"/>
      <c r="CE56" s="18"/>
      <c r="CF56" s="18"/>
      <c r="CG56" s="18"/>
      <c r="CH56" s="18"/>
      <c r="CI56" s="18"/>
      <c r="CJ56" s="18"/>
      <c r="CK56" s="18"/>
      <c r="CL56" s="18"/>
      <c r="CM56" s="18"/>
      <c r="CN56" s="18"/>
      <c r="CO56" s="18"/>
      <c r="CP56" s="18"/>
      <c r="CQ56" s="18"/>
      <c r="CR56" s="18"/>
      <c r="CS56" s="18"/>
      <c r="CT56" s="18"/>
      <c r="CU56" s="18"/>
      <c r="CV56" s="18"/>
      <c r="CW56" s="18"/>
      <c r="CX56" s="18"/>
      <c r="CY56" s="18"/>
      <c r="CZ56" s="18"/>
      <c r="DA56" s="18"/>
      <c r="DB56" s="18"/>
      <c r="DC56" s="18"/>
      <c r="DD56" s="18"/>
      <c r="DE56" s="18"/>
      <c r="DF56" s="18"/>
      <c r="DG56" s="18"/>
      <c r="DH56" s="19"/>
      <c r="DI56" s="11"/>
      <c r="DJ56" s="208"/>
      <c r="DK56" s="209"/>
      <c r="DL56" s="210"/>
      <c r="DM56" s="21"/>
      <c r="DN56" s="21"/>
      <c r="DO56" s="15"/>
      <c r="DP56" s="13"/>
      <c r="DQ56" s="14"/>
      <c r="DR56" s="18"/>
      <c r="DS56" s="15"/>
      <c r="DT56" s="82"/>
      <c r="DU56" s="33"/>
      <c r="DV56" s="34"/>
      <c r="DW56" s="8"/>
    </row>
    <row r="57" spans="1:127">
      <c r="A57" s="37"/>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3"/>
      <c r="AM57" s="14"/>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6"/>
      <c r="BX57" s="17"/>
      <c r="BY57" s="18"/>
      <c r="BZ57" s="18"/>
      <c r="CA57" s="18"/>
      <c r="CB57" s="18"/>
      <c r="CC57" s="18"/>
      <c r="CD57" s="18"/>
      <c r="CE57" s="18"/>
      <c r="CF57" s="18"/>
      <c r="CG57" s="18"/>
      <c r="CH57" s="18"/>
      <c r="CI57" s="18"/>
      <c r="CJ57" s="18"/>
      <c r="CK57" s="18"/>
      <c r="CL57" s="18"/>
      <c r="CM57" s="18"/>
      <c r="CN57" s="18"/>
      <c r="CO57" s="18"/>
      <c r="CP57" s="18"/>
      <c r="CQ57" s="18"/>
      <c r="CR57" s="18"/>
      <c r="CS57" s="18"/>
      <c r="CT57" s="18"/>
      <c r="CU57" s="18"/>
      <c r="CV57" s="18"/>
      <c r="CW57" s="18"/>
      <c r="CX57" s="18"/>
      <c r="CY57" s="18"/>
      <c r="CZ57" s="18"/>
      <c r="DA57" s="18"/>
      <c r="DB57" s="18"/>
      <c r="DC57" s="18"/>
      <c r="DD57" s="18"/>
      <c r="DE57" s="18"/>
      <c r="DF57" s="18"/>
      <c r="DG57" s="18"/>
      <c r="DH57" s="19"/>
      <c r="DI57" s="11"/>
      <c r="DJ57" s="208"/>
      <c r="DK57" s="209"/>
      <c r="DL57" s="210"/>
      <c r="DM57" s="21"/>
      <c r="DN57" s="21"/>
      <c r="DO57" s="15"/>
      <c r="DP57" s="13"/>
      <c r="DQ57" s="14"/>
      <c r="DR57" s="18"/>
      <c r="DS57" s="15"/>
      <c r="DT57" s="82"/>
      <c r="DU57" s="33"/>
      <c r="DV57" s="34"/>
      <c r="DW57" s="8"/>
    </row>
    <row r="58" spans="1:127">
      <c r="A58" s="37"/>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3"/>
      <c r="AM58" s="14"/>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6"/>
      <c r="BX58" s="17"/>
      <c r="BY58" s="18"/>
      <c r="BZ58" s="18"/>
      <c r="CA58" s="18"/>
      <c r="CB58" s="18"/>
      <c r="CC58" s="18"/>
      <c r="CD58" s="18"/>
      <c r="CE58" s="18"/>
      <c r="CF58" s="18"/>
      <c r="CG58" s="18"/>
      <c r="CH58" s="18"/>
      <c r="CI58" s="18"/>
      <c r="CJ58" s="18"/>
      <c r="CK58" s="18"/>
      <c r="CL58" s="18"/>
      <c r="CM58" s="18"/>
      <c r="CN58" s="18"/>
      <c r="CO58" s="18"/>
      <c r="CP58" s="18"/>
      <c r="CQ58" s="18"/>
      <c r="CR58" s="18"/>
      <c r="CS58" s="18"/>
      <c r="CT58" s="18"/>
      <c r="CU58" s="18"/>
      <c r="CV58" s="18"/>
      <c r="CW58" s="18"/>
      <c r="CX58" s="18"/>
      <c r="CY58" s="18"/>
      <c r="CZ58" s="18"/>
      <c r="DA58" s="18"/>
      <c r="DB58" s="18"/>
      <c r="DC58" s="18"/>
      <c r="DD58" s="18"/>
      <c r="DE58" s="18"/>
      <c r="DF58" s="18"/>
      <c r="DG58" s="18"/>
      <c r="DH58" s="19"/>
      <c r="DI58" s="11"/>
      <c r="DJ58" s="208"/>
      <c r="DK58" s="209"/>
      <c r="DL58" s="210"/>
      <c r="DM58" s="21"/>
      <c r="DN58" s="21"/>
      <c r="DO58" s="15"/>
      <c r="DP58" s="13"/>
      <c r="DQ58" s="14"/>
      <c r="DR58" s="18"/>
      <c r="DS58" s="15"/>
      <c r="DT58" s="82"/>
      <c r="DU58" s="33"/>
      <c r="DV58" s="34"/>
      <c r="DW58" s="8"/>
    </row>
    <row r="59" spans="1:127">
      <c r="A59" s="37"/>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3"/>
      <c r="AM59" s="14"/>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6"/>
      <c r="BX59" s="17"/>
      <c r="BY59" s="18"/>
      <c r="BZ59" s="18"/>
      <c r="CA59" s="18"/>
      <c r="CB59" s="18"/>
      <c r="CC59" s="18"/>
      <c r="CD59" s="18"/>
      <c r="CE59" s="18"/>
      <c r="CF59" s="18"/>
      <c r="CG59" s="18"/>
      <c r="CH59" s="18"/>
      <c r="CI59" s="18"/>
      <c r="CJ59" s="18"/>
      <c r="CK59" s="18"/>
      <c r="CL59" s="18"/>
      <c r="CM59" s="18"/>
      <c r="CN59" s="18"/>
      <c r="CO59" s="18"/>
      <c r="CP59" s="18"/>
      <c r="CQ59" s="18"/>
      <c r="CR59" s="18"/>
      <c r="CS59" s="18"/>
      <c r="CT59" s="18"/>
      <c r="CU59" s="18"/>
      <c r="CV59" s="18"/>
      <c r="CW59" s="18"/>
      <c r="CX59" s="18"/>
      <c r="CY59" s="18"/>
      <c r="CZ59" s="18"/>
      <c r="DA59" s="18"/>
      <c r="DB59" s="18"/>
      <c r="DC59" s="18"/>
      <c r="DD59" s="18"/>
      <c r="DE59" s="18"/>
      <c r="DF59" s="18"/>
      <c r="DG59" s="18"/>
      <c r="DH59" s="19"/>
      <c r="DI59" s="11"/>
      <c r="DJ59" s="208"/>
      <c r="DK59" s="209"/>
      <c r="DL59" s="210"/>
      <c r="DM59" s="21"/>
      <c r="DN59" s="21"/>
      <c r="DO59" s="15"/>
      <c r="DP59" s="13"/>
      <c r="DQ59" s="14"/>
      <c r="DR59" s="18"/>
      <c r="DS59" s="15"/>
      <c r="DT59" s="82"/>
      <c r="DU59" s="33"/>
      <c r="DV59" s="34"/>
      <c r="DW59" s="8"/>
    </row>
    <row r="60" spans="1:127">
      <c r="A60" s="37"/>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3"/>
      <c r="AM60" s="14"/>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6"/>
      <c r="BX60" s="17"/>
      <c r="BY60" s="18"/>
      <c r="BZ60" s="18"/>
      <c r="CA60" s="18"/>
      <c r="CB60" s="18"/>
      <c r="CC60" s="18"/>
      <c r="CD60" s="18"/>
      <c r="CE60" s="18"/>
      <c r="CF60" s="18"/>
      <c r="CG60" s="18"/>
      <c r="CH60" s="18"/>
      <c r="CI60" s="18"/>
      <c r="CJ60" s="18"/>
      <c r="CK60" s="18"/>
      <c r="CL60" s="18"/>
      <c r="CM60" s="18"/>
      <c r="CN60" s="18"/>
      <c r="CO60" s="18"/>
      <c r="CP60" s="18"/>
      <c r="CQ60" s="18"/>
      <c r="CR60" s="18"/>
      <c r="CS60" s="18"/>
      <c r="CT60" s="18"/>
      <c r="CU60" s="18"/>
      <c r="CV60" s="18"/>
      <c r="CW60" s="18"/>
      <c r="CX60" s="18"/>
      <c r="CY60" s="18"/>
      <c r="CZ60" s="18"/>
      <c r="DA60" s="18"/>
      <c r="DB60" s="18"/>
      <c r="DC60" s="18"/>
      <c r="DD60" s="18"/>
      <c r="DE60" s="18"/>
      <c r="DF60" s="18"/>
      <c r="DG60" s="18"/>
      <c r="DH60" s="19"/>
      <c r="DI60" s="11"/>
      <c r="DJ60" s="208"/>
      <c r="DK60" s="209"/>
      <c r="DL60" s="210"/>
      <c r="DM60" s="21"/>
      <c r="DN60" s="21"/>
      <c r="DO60" s="15"/>
      <c r="DP60" s="13"/>
      <c r="DQ60" s="14"/>
      <c r="DR60" s="18"/>
      <c r="DS60" s="15"/>
      <c r="DT60" s="82"/>
      <c r="DU60" s="33"/>
      <c r="DV60" s="34"/>
      <c r="DW60" s="8"/>
    </row>
    <row r="61" spans="1:127">
      <c r="A61" s="37"/>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3"/>
      <c r="AM61" s="14"/>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6"/>
      <c r="BX61" s="17"/>
      <c r="BY61" s="18"/>
      <c r="BZ61" s="18"/>
      <c r="CA61" s="18"/>
      <c r="CB61" s="18"/>
      <c r="CC61" s="18"/>
      <c r="CD61" s="18"/>
      <c r="CE61" s="18"/>
      <c r="CF61" s="18"/>
      <c r="CG61" s="18"/>
      <c r="CH61" s="18"/>
      <c r="CI61" s="18"/>
      <c r="CJ61" s="18"/>
      <c r="CK61" s="18"/>
      <c r="CL61" s="18"/>
      <c r="CM61" s="18"/>
      <c r="CN61" s="18"/>
      <c r="CO61" s="18"/>
      <c r="CP61" s="18"/>
      <c r="CQ61" s="18"/>
      <c r="CR61" s="18"/>
      <c r="CS61" s="18"/>
      <c r="CT61" s="18"/>
      <c r="CU61" s="18"/>
      <c r="CV61" s="18"/>
      <c r="CW61" s="18"/>
      <c r="CX61" s="18"/>
      <c r="CY61" s="18"/>
      <c r="CZ61" s="18"/>
      <c r="DA61" s="18"/>
      <c r="DB61" s="18"/>
      <c r="DC61" s="18"/>
      <c r="DD61" s="18"/>
      <c r="DE61" s="18"/>
      <c r="DF61" s="18"/>
      <c r="DG61" s="18"/>
      <c r="DH61" s="19"/>
      <c r="DI61" s="11"/>
      <c r="DJ61" s="208"/>
      <c r="DK61" s="209"/>
      <c r="DL61" s="210"/>
      <c r="DM61" s="21"/>
      <c r="DN61" s="21"/>
      <c r="DO61" s="15"/>
      <c r="DP61" s="13"/>
      <c r="DQ61" s="14"/>
      <c r="DR61" s="18"/>
      <c r="DS61" s="15"/>
      <c r="DT61" s="82"/>
      <c r="DU61" s="33"/>
      <c r="DV61" s="34"/>
      <c r="DW61" s="8"/>
    </row>
    <row r="62" spans="1:127">
      <c r="A62" s="37"/>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3"/>
      <c r="AM62" s="14"/>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6"/>
      <c r="BX62" s="17"/>
      <c r="BY62" s="18"/>
      <c r="BZ62" s="18"/>
      <c r="CA62" s="18"/>
      <c r="CB62" s="18"/>
      <c r="CC62" s="18"/>
      <c r="CD62" s="18"/>
      <c r="CE62" s="18"/>
      <c r="CF62" s="18"/>
      <c r="CG62" s="18"/>
      <c r="CH62" s="18"/>
      <c r="CI62" s="18"/>
      <c r="CJ62" s="18"/>
      <c r="CK62" s="18"/>
      <c r="CL62" s="18"/>
      <c r="CM62" s="18"/>
      <c r="CN62" s="18"/>
      <c r="CO62" s="18"/>
      <c r="CP62" s="18"/>
      <c r="CQ62" s="18"/>
      <c r="CR62" s="18"/>
      <c r="CS62" s="18"/>
      <c r="CT62" s="18"/>
      <c r="CU62" s="18"/>
      <c r="CV62" s="18"/>
      <c r="CW62" s="18"/>
      <c r="CX62" s="18"/>
      <c r="CY62" s="18"/>
      <c r="CZ62" s="18"/>
      <c r="DA62" s="18"/>
      <c r="DB62" s="18"/>
      <c r="DC62" s="18"/>
      <c r="DD62" s="18"/>
      <c r="DE62" s="18"/>
      <c r="DF62" s="18"/>
      <c r="DG62" s="18"/>
      <c r="DH62" s="19"/>
      <c r="DI62" s="11"/>
      <c r="DJ62" s="208"/>
      <c r="DK62" s="209"/>
      <c r="DL62" s="210"/>
      <c r="DM62" s="21"/>
      <c r="DN62" s="21"/>
      <c r="DO62" s="15"/>
      <c r="DP62" s="13"/>
      <c r="DQ62" s="14"/>
      <c r="DR62" s="18"/>
      <c r="DS62" s="15"/>
      <c r="DT62" s="82"/>
      <c r="DU62" s="33"/>
      <c r="DV62" s="34"/>
      <c r="DW62" s="8"/>
    </row>
    <row r="63" spans="1:127">
      <c r="A63" s="37"/>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3"/>
      <c r="AM63" s="14"/>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6"/>
      <c r="BX63" s="17"/>
      <c r="BY63" s="18"/>
      <c r="BZ63" s="18"/>
      <c r="CA63" s="18"/>
      <c r="CB63" s="18"/>
      <c r="CC63" s="18"/>
      <c r="CD63" s="18"/>
      <c r="CE63" s="18"/>
      <c r="CF63" s="18"/>
      <c r="CG63" s="18"/>
      <c r="CH63" s="18"/>
      <c r="CI63" s="18"/>
      <c r="CJ63" s="18"/>
      <c r="CK63" s="18"/>
      <c r="CL63" s="18"/>
      <c r="CM63" s="18"/>
      <c r="CN63" s="18"/>
      <c r="CO63" s="18"/>
      <c r="CP63" s="18"/>
      <c r="CQ63" s="18"/>
      <c r="CR63" s="18"/>
      <c r="CS63" s="18"/>
      <c r="CT63" s="18"/>
      <c r="CU63" s="18"/>
      <c r="CV63" s="18"/>
      <c r="CW63" s="18"/>
      <c r="CX63" s="18"/>
      <c r="CY63" s="18"/>
      <c r="CZ63" s="18"/>
      <c r="DA63" s="18"/>
      <c r="DB63" s="18"/>
      <c r="DC63" s="18"/>
      <c r="DD63" s="18"/>
      <c r="DE63" s="18"/>
      <c r="DF63" s="18"/>
      <c r="DG63" s="18"/>
      <c r="DH63" s="19"/>
      <c r="DI63" s="11"/>
      <c r="DJ63" s="208"/>
      <c r="DK63" s="209"/>
      <c r="DL63" s="210"/>
      <c r="DM63" s="21"/>
      <c r="DN63" s="21"/>
      <c r="DO63" s="15"/>
      <c r="DP63" s="13"/>
      <c r="DQ63" s="14"/>
      <c r="DR63" s="18"/>
      <c r="DS63" s="15"/>
      <c r="DT63" s="82"/>
      <c r="DU63" s="33"/>
      <c r="DV63" s="34"/>
      <c r="DW63" s="8"/>
    </row>
    <row r="64" spans="1:127">
      <c r="A64" s="37"/>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3"/>
      <c r="AM64" s="14"/>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6"/>
      <c r="BX64" s="17"/>
      <c r="BY64" s="18"/>
      <c r="BZ64" s="18"/>
      <c r="CA64" s="18"/>
      <c r="CB64" s="18"/>
      <c r="CC64" s="18"/>
      <c r="CD64" s="18"/>
      <c r="CE64" s="18"/>
      <c r="CF64" s="18"/>
      <c r="CG64" s="18"/>
      <c r="CH64" s="18"/>
      <c r="CI64" s="18"/>
      <c r="CJ64" s="18"/>
      <c r="CK64" s="18"/>
      <c r="CL64" s="18"/>
      <c r="CM64" s="18"/>
      <c r="CN64" s="18"/>
      <c r="CO64" s="18"/>
      <c r="CP64" s="18"/>
      <c r="CQ64" s="18"/>
      <c r="CR64" s="18"/>
      <c r="CS64" s="18"/>
      <c r="CT64" s="18"/>
      <c r="CU64" s="18"/>
      <c r="CV64" s="18"/>
      <c r="CW64" s="18"/>
      <c r="CX64" s="18"/>
      <c r="CY64" s="18"/>
      <c r="CZ64" s="18"/>
      <c r="DA64" s="18"/>
      <c r="DB64" s="18"/>
      <c r="DC64" s="18"/>
      <c r="DD64" s="18"/>
      <c r="DE64" s="18"/>
      <c r="DF64" s="18"/>
      <c r="DG64" s="18"/>
      <c r="DH64" s="19"/>
      <c r="DI64" s="11"/>
      <c r="DJ64" s="208"/>
      <c r="DK64" s="209"/>
      <c r="DL64" s="210"/>
      <c r="DM64" s="21"/>
      <c r="DN64" s="21"/>
      <c r="DO64" s="15"/>
      <c r="DP64" s="13"/>
      <c r="DQ64" s="14"/>
      <c r="DR64" s="18"/>
      <c r="DS64" s="15"/>
      <c r="DT64" s="82"/>
      <c r="DU64" s="33"/>
      <c r="DV64" s="34"/>
      <c r="DW64" s="8"/>
    </row>
    <row r="65" spans="1:127">
      <c r="A65" s="37"/>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3"/>
      <c r="AM65" s="14"/>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6"/>
      <c r="BX65" s="17"/>
      <c r="BY65" s="18"/>
      <c r="BZ65" s="18"/>
      <c r="CA65" s="18"/>
      <c r="CB65" s="18"/>
      <c r="CC65" s="18"/>
      <c r="CD65" s="18"/>
      <c r="CE65" s="18"/>
      <c r="CF65" s="18"/>
      <c r="CG65" s="18"/>
      <c r="CH65" s="18"/>
      <c r="CI65" s="18"/>
      <c r="CJ65" s="18"/>
      <c r="CK65" s="18"/>
      <c r="CL65" s="18"/>
      <c r="CM65" s="18"/>
      <c r="CN65" s="18"/>
      <c r="CO65" s="18"/>
      <c r="CP65" s="18"/>
      <c r="CQ65" s="18"/>
      <c r="CR65" s="18"/>
      <c r="CS65" s="18"/>
      <c r="CT65" s="18"/>
      <c r="CU65" s="18"/>
      <c r="CV65" s="18"/>
      <c r="CW65" s="18"/>
      <c r="CX65" s="18"/>
      <c r="CY65" s="18"/>
      <c r="CZ65" s="18"/>
      <c r="DA65" s="18"/>
      <c r="DB65" s="18"/>
      <c r="DC65" s="18"/>
      <c r="DD65" s="18"/>
      <c r="DE65" s="18"/>
      <c r="DF65" s="18"/>
      <c r="DG65" s="18"/>
      <c r="DH65" s="19"/>
      <c r="DI65" s="11"/>
      <c r="DJ65" s="208"/>
      <c r="DK65" s="209"/>
      <c r="DL65" s="210"/>
      <c r="DM65" s="21"/>
      <c r="DN65" s="21"/>
      <c r="DO65" s="15"/>
      <c r="DP65" s="13"/>
      <c r="DQ65" s="14"/>
      <c r="DR65" s="18"/>
      <c r="DS65" s="15"/>
      <c r="DT65" s="82"/>
      <c r="DU65" s="33"/>
      <c r="DV65" s="34"/>
      <c r="DW65" s="8"/>
    </row>
    <row r="66" spans="1:127">
      <c r="A66" s="37"/>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3"/>
      <c r="AM66" s="14"/>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6"/>
      <c r="BX66" s="17"/>
      <c r="BY66" s="18"/>
      <c r="BZ66" s="18"/>
      <c r="CA66" s="18"/>
      <c r="CB66" s="18"/>
      <c r="CC66" s="18"/>
      <c r="CD66" s="18"/>
      <c r="CE66" s="18"/>
      <c r="CF66" s="18"/>
      <c r="CG66" s="18"/>
      <c r="CH66" s="18"/>
      <c r="CI66" s="18"/>
      <c r="CJ66" s="18"/>
      <c r="CK66" s="18"/>
      <c r="CL66" s="18"/>
      <c r="CM66" s="18"/>
      <c r="CN66" s="18"/>
      <c r="CO66" s="18"/>
      <c r="CP66" s="18"/>
      <c r="CQ66" s="18"/>
      <c r="CR66" s="18"/>
      <c r="CS66" s="18"/>
      <c r="CT66" s="18"/>
      <c r="CU66" s="18"/>
      <c r="CV66" s="18"/>
      <c r="CW66" s="18"/>
      <c r="CX66" s="18"/>
      <c r="CY66" s="18"/>
      <c r="CZ66" s="18"/>
      <c r="DA66" s="18"/>
      <c r="DB66" s="18"/>
      <c r="DC66" s="18"/>
      <c r="DD66" s="18"/>
      <c r="DE66" s="18"/>
      <c r="DF66" s="18"/>
      <c r="DG66" s="18"/>
      <c r="DH66" s="19"/>
      <c r="DI66" s="11"/>
      <c r="DJ66" s="208"/>
      <c r="DK66" s="209"/>
      <c r="DL66" s="210"/>
      <c r="DM66" s="21"/>
      <c r="DN66" s="21"/>
      <c r="DO66" s="15"/>
      <c r="DP66" s="13"/>
      <c r="DQ66" s="14"/>
      <c r="DR66" s="18"/>
      <c r="DS66" s="15"/>
      <c r="DT66" s="82"/>
      <c r="DU66" s="33"/>
      <c r="DV66" s="34"/>
      <c r="DW66" s="8"/>
    </row>
    <row r="67" spans="1:127">
      <c r="A67" s="37"/>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3"/>
      <c r="AM67" s="14"/>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6"/>
      <c r="BX67" s="17"/>
      <c r="BY67" s="18"/>
      <c r="BZ67" s="18"/>
      <c r="CA67" s="18"/>
      <c r="CB67" s="18"/>
      <c r="CC67" s="18"/>
      <c r="CD67" s="18"/>
      <c r="CE67" s="18"/>
      <c r="CF67" s="18"/>
      <c r="CG67" s="18"/>
      <c r="CH67" s="18"/>
      <c r="CI67" s="18"/>
      <c r="CJ67" s="18"/>
      <c r="CK67" s="18"/>
      <c r="CL67" s="18"/>
      <c r="CM67" s="18"/>
      <c r="CN67" s="18"/>
      <c r="CO67" s="18"/>
      <c r="CP67" s="18"/>
      <c r="CQ67" s="18"/>
      <c r="CR67" s="18"/>
      <c r="CS67" s="18"/>
      <c r="CT67" s="18"/>
      <c r="CU67" s="18"/>
      <c r="CV67" s="18"/>
      <c r="CW67" s="18"/>
      <c r="CX67" s="18"/>
      <c r="CY67" s="18"/>
      <c r="CZ67" s="18"/>
      <c r="DA67" s="18"/>
      <c r="DB67" s="18"/>
      <c r="DC67" s="18"/>
      <c r="DD67" s="18"/>
      <c r="DE67" s="18"/>
      <c r="DF67" s="18"/>
      <c r="DG67" s="18"/>
      <c r="DH67" s="19"/>
      <c r="DI67" s="11"/>
      <c r="DJ67" s="208"/>
      <c r="DK67" s="209"/>
      <c r="DL67" s="210"/>
      <c r="DM67" s="21"/>
      <c r="DN67" s="21"/>
      <c r="DO67" s="15"/>
      <c r="DP67" s="13"/>
      <c r="DQ67" s="14"/>
      <c r="DR67" s="18"/>
      <c r="DS67" s="15"/>
      <c r="DT67" s="82"/>
      <c r="DU67" s="33"/>
      <c r="DV67" s="34"/>
      <c r="DW67" s="8"/>
    </row>
    <row r="68" spans="1:127">
      <c r="A68" s="37"/>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3"/>
      <c r="AM68" s="14"/>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6"/>
      <c r="BX68" s="17"/>
      <c r="BY68" s="18"/>
      <c r="BZ68" s="18"/>
      <c r="CA68" s="18"/>
      <c r="CB68" s="18"/>
      <c r="CC68" s="18"/>
      <c r="CD68" s="18"/>
      <c r="CE68" s="18"/>
      <c r="CF68" s="18"/>
      <c r="CG68" s="18"/>
      <c r="CH68" s="18"/>
      <c r="CI68" s="18"/>
      <c r="CJ68" s="18"/>
      <c r="CK68" s="18"/>
      <c r="CL68" s="18"/>
      <c r="CM68" s="18"/>
      <c r="CN68" s="18"/>
      <c r="CO68" s="18"/>
      <c r="CP68" s="18"/>
      <c r="CQ68" s="18"/>
      <c r="CR68" s="18"/>
      <c r="CS68" s="18"/>
      <c r="CT68" s="18"/>
      <c r="CU68" s="18"/>
      <c r="CV68" s="18"/>
      <c r="CW68" s="18"/>
      <c r="CX68" s="18"/>
      <c r="CY68" s="18"/>
      <c r="CZ68" s="18"/>
      <c r="DA68" s="18"/>
      <c r="DB68" s="18"/>
      <c r="DC68" s="18"/>
      <c r="DD68" s="18"/>
      <c r="DE68" s="18"/>
      <c r="DF68" s="18"/>
      <c r="DG68" s="18"/>
      <c r="DH68" s="19"/>
      <c r="DI68" s="11"/>
      <c r="DJ68" s="208"/>
      <c r="DK68" s="209"/>
      <c r="DL68" s="210"/>
      <c r="DM68" s="21"/>
      <c r="DN68" s="21"/>
      <c r="DO68" s="15"/>
      <c r="DP68" s="13"/>
      <c r="DQ68" s="14"/>
      <c r="DR68" s="18"/>
      <c r="DS68" s="15"/>
      <c r="DT68" s="82"/>
      <c r="DU68" s="33"/>
      <c r="DV68" s="34"/>
      <c r="DW68" s="8"/>
    </row>
    <row r="69" spans="1:127">
      <c r="A69" s="37"/>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3"/>
      <c r="AM69" s="14"/>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6"/>
      <c r="BX69" s="17"/>
      <c r="BY69" s="18"/>
      <c r="BZ69" s="18"/>
      <c r="CA69" s="18"/>
      <c r="CB69" s="18"/>
      <c r="CC69" s="18"/>
      <c r="CD69" s="18"/>
      <c r="CE69" s="18"/>
      <c r="CF69" s="18"/>
      <c r="CG69" s="18"/>
      <c r="CH69" s="18"/>
      <c r="CI69" s="18"/>
      <c r="CJ69" s="18"/>
      <c r="CK69" s="18"/>
      <c r="CL69" s="18"/>
      <c r="CM69" s="18"/>
      <c r="CN69" s="18"/>
      <c r="CO69" s="18"/>
      <c r="CP69" s="18"/>
      <c r="CQ69" s="18"/>
      <c r="CR69" s="18"/>
      <c r="CS69" s="18"/>
      <c r="CT69" s="18"/>
      <c r="CU69" s="18"/>
      <c r="CV69" s="18"/>
      <c r="CW69" s="18"/>
      <c r="CX69" s="18"/>
      <c r="CY69" s="18"/>
      <c r="CZ69" s="18"/>
      <c r="DA69" s="18"/>
      <c r="DB69" s="18"/>
      <c r="DC69" s="18"/>
      <c r="DD69" s="18"/>
      <c r="DE69" s="18"/>
      <c r="DF69" s="18"/>
      <c r="DG69" s="18"/>
      <c r="DH69" s="19"/>
      <c r="DI69" s="11"/>
      <c r="DJ69" s="208"/>
      <c r="DK69" s="209"/>
      <c r="DL69" s="210"/>
      <c r="DM69" s="21"/>
      <c r="DN69" s="21"/>
      <c r="DO69" s="15"/>
      <c r="DP69" s="13"/>
      <c r="DQ69" s="14"/>
      <c r="DR69" s="18"/>
      <c r="DS69" s="15"/>
      <c r="DT69" s="82"/>
      <c r="DU69" s="33"/>
      <c r="DV69" s="34"/>
      <c r="DW69" s="8"/>
    </row>
    <row r="70" spans="1:127">
      <c r="A70" s="37"/>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3"/>
      <c r="AM70" s="14"/>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6"/>
      <c r="BX70" s="17"/>
      <c r="BY70" s="18"/>
      <c r="BZ70" s="18"/>
      <c r="CA70" s="18"/>
      <c r="CB70" s="18"/>
      <c r="CC70" s="18"/>
      <c r="CD70" s="18"/>
      <c r="CE70" s="18"/>
      <c r="CF70" s="18"/>
      <c r="CG70" s="18"/>
      <c r="CH70" s="18"/>
      <c r="CI70" s="18"/>
      <c r="CJ70" s="18"/>
      <c r="CK70" s="18"/>
      <c r="CL70" s="18"/>
      <c r="CM70" s="18"/>
      <c r="CN70" s="18"/>
      <c r="CO70" s="18"/>
      <c r="CP70" s="18"/>
      <c r="CQ70" s="18"/>
      <c r="CR70" s="18"/>
      <c r="CS70" s="18"/>
      <c r="CT70" s="18"/>
      <c r="CU70" s="18"/>
      <c r="CV70" s="18"/>
      <c r="CW70" s="18"/>
      <c r="CX70" s="18"/>
      <c r="CY70" s="18"/>
      <c r="CZ70" s="18"/>
      <c r="DA70" s="18"/>
      <c r="DB70" s="18"/>
      <c r="DC70" s="18"/>
      <c r="DD70" s="18"/>
      <c r="DE70" s="18"/>
      <c r="DF70" s="18"/>
      <c r="DG70" s="18"/>
      <c r="DH70" s="19"/>
      <c r="DI70" s="11"/>
      <c r="DJ70" s="208"/>
      <c r="DK70" s="209"/>
      <c r="DL70" s="210"/>
      <c r="DM70" s="21"/>
      <c r="DN70" s="21"/>
      <c r="DO70" s="15"/>
      <c r="DP70" s="13"/>
      <c r="DQ70" s="14"/>
      <c r="DR70" s="18"/>
      <c r="DS70" s="15"/>
      <c r="DT70" s="82"/>
      <c r="DU70" s="33"/>
      <c r="DV70" s="34"/>
      <c r="DW70" s="8"/>
    </row>
    <row r="71" spans="1:127">
      <c r="A71" s="37"/>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3"/>
      <c r="AM71" s="14"/>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6"/>
      <c r="BX71" s="17"/>
      <c r="BY71" s="18"/>
      <c r="BZ71" s="18"/>
      <c r="CA71" s="18"/>
      <c r="CB71" s="18"/>
      <c r="CC71" s="18"/>
      <c r="CD71" s="18"/>
      <c r="CE71" s="18"/>
      <c r="CF71" s="18"/>
      <c r="CG71" s="18"/>
      <c r="CH71" s="18"/>
      <c r="CI71" s="18"/>
      <c r="CJ71" s="18"/>
      <c r="CK71" s="18"/>
      <c r="CL71" s="18"/>
      <c r="CM71" s="18"/>
      <c r="CN71" s="18"/>
      <c r="CO71" s="18"/>
      <c r="CP71" s="18"/>
      <c r="CQ71" s="18"/>
      <c r="CR71" s="18"/>
      <c r="CS71" s="18"/>
      <c r="CT71" s="18"/>
      <c r="CU71" s="18"/>
      <c r="CV71" s="18"/>
      <c r="CW71" s="18"/>
      <c r="CX71" s="18"/>
      <c r="CY71" s="18"/>
      <c r="CZ71" s="18"/>
      <c r="DA71" s="18"/>
      <c r="DB71" s="18"/>
      <c r="DC71" s="18"/>
      <c r="DD71" s="18"/>
      <c r="DE71" s="18"/>
      <c r="DF71" s="18"/>
      <c r="DG71" s="18"/>
      <c r="DH71" s="19"/>
      <c r="DI71" s="11"/>
      <c r="DJ71" s="208"/>
      <c r="DK71" s="209"/>
      <c r="DL71" s="210"/>
      <c r="DM71" s="21"/>
      <c r="DN71" s="21"/>
      <c r="DO71" s="15"/>
      <c r="DP71" s="13"/>
      <c r="DQ71" s="14"/>
      <c r="DR71" s="18"/>
      <c r="DS71" s="15"/>
      <c r="DT71" s="82"/>
      <c r="DU71" s="33"/>
      <c r="DV71" s="34"/>
      <c r="DW71" s="8"/>
    </row>
    <row r="72" spans="1:127">
      <c r="A72" s="37"/>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3"/>
      <c r="AM72" s="14"/>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6"/>
      <c r="BX72" s="17"/>
      <c r="BY72" s="18"/>
      <c r="BZ72" s="18"/>
      <c r="CA72" s="18"/>
      <c r="CB72" s="18"/>
      <c r="CC72" s="18"/>
      <c r="CD72" s="18"/>
      <c r="CE72" s="18"/>
      <c r="CF72" s="18"/>
      <c r="CG72" s="18"/>
      <c r="CH72" s="18"/>
      <c r="CI72" s="18"/>
      <c r="CJ72" s="18"/>
      <c r="CK72" s="18"/>
      <c r="CL72" s="18"/>
      <c r="CM72" s="18"/>
      <c r="CN72" s="18"/>
      <c r="CO72" s="18"/>
      <c r="CP72" s="18"/>
      <c r="CQ72" s="18"/>
      <c r="CR72" s="18"/>
      <c r="CS72" s="18"/>
      <c r="CT72" s="18"/>
      <c r="CU72" s="18"/>
      <c r="CV72" s="18"/>
      <c r="CW72" s="18"/>
      <c r="CX72" s="18"/>
      <c r="CY72" s="18"/>
      <c r="CZ72" s="18"/>
      <c r="DA72" s="18"/>
      <c r="DB72" s="18"/>
      <c r="DC72" s="18"/>
      <c r="DD72" s="18"/>
      <c r="DE72" s="18"/>
      <c r="DF72" s="18"/>
      <c r="DG72" s="18"/>
      <c r="DH72" s="19"/>
      <c r="DI72" s="11"/>
      <c r="DJ72" s="208"/>
      <c r="DK72" s="209"/>
      <c r="DL72" s="210"/>
      <c r="DM72" s="21"/>
      <c r="DN72" s="21"/>
      <c r="DO72" s="15"/>
      <c r="DP72" s="13"/>
      <c r="DQ72" s="14"/>
      <c r="DR72" s="18"/>
      <c r="DS72" s="15"/>
      <c r="DT72" s="82"/>
      <c r="DU72" s="33"/>
      <c r="DV72" s="34"/>
      <c r="DW72" s="8"/>
    </row>
    <row r="73" spans="1:127">
      <c r="A73" s="37"/>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3"/>
      <c r="AM73" s="14"/>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6"/>
      <c r="BX73" s="17"/>
      <c r="BY73" s="18"/>
      <c r="BZ73" s="18"/>
      <c r="CA73" s="18"/>
      <c r="CB73" s="18"/>
      <c r="CC73" s="18"/>
      <c r="CD73" s="18"/>
      <c r="CE73" s="18"/>
      <c r="CF73" s="18"/>
      <c r="CG73" s="18"/>
      <c r="CH73" s="18"/>
      <c r="CI73" s="18"/>
      <c r="CJ73" s="18"/>
      <c r="CK73" s="18"/>
      <c r="CL73" s="18"/>
      <c r="CM73" s="18"/>
      <c r="CN73" s="18"/>
      <c r="CO73" s="18"/>
      <c r="CP73" s="18"/>
      <c r="CQ73" s="18"/>
      <c r="CR73" s="18"/>
      <c r="CS73" s="18"/>
      <c r="CT73" s="18"/>
      <c r="CU73" s="18"/>
      <c r="CV73" s="18"/>
      <c r="CW73" s="18"/>
      <c r="CX73" s="18"/>
      <c r="CY73" s="18"/>
      <c r="CZ73" s="18"/>
      <c r="DA73" s="18"/>
      <c r="DB73" s="18"/>
      <c r="DC73" s="18"/>
      <c r="DD73" s="18"/>
      <c r="DE73" s="18"/>
      <c r="DF73" s="18"/>
      <c r="DG73" s="18"/>
      <c r="DH73" s="19"/>
      <c r="DI73" s="11"/>
      <c r="DJ73" s="208"/>
      <c r="DK73" s="209"/>
      <c r="DL73" s="210"/>
      <c r="DM73" s="21"/>
      <c r="DN73" s="21"/>
      <c r="DO73" s="15"/>
      <c r="DP73" s="13"/>
      <c r="DQ73" s="14"/>
      <c r="DR73" s="18"/>
      <c r="DS73" s="15"/>
      <c r="DT73" s="82"/>
      <c r="DU73" s="33"/>
      <c r="DV73" s="34"/>
      <c r="DW73" s="8"/>
    </row>
    <row r="74" spans="1:127">
      <c r="A74" s="37"/>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3"/>
      <c r="AM74" s="14"/>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6"/>
      <c r="BX74" s="17"/>
      <c r="BY74" s="18"/>
      <c r="BZ74" s="18"/>
      <c r="CA74" s="18"/>
      <c r="CB74" s="18"/>
      <c r="CC74" s="18"/>
      <c r="CD74" s="18"/>
      <c r="CE74" s="18"/>
      <c r="CF74" s="18"/>
      <c r="CG74" s="18"/>
      <c r="CH74" s="18"/>
      <c r="CI74" s="18"/>
      <c r="CJ74" s="18"/>
      <c r="CK74" s="18"/>
      <c r="CL74" s="18"/>
      <c r="CM74" s="18"/>
      <c r="CN74" s="18"/>
      <c r="CO74" s="18"/>
      <c r="CP74" s="18"/>
      <c r="CQ74" s="18"/>
      <c r="CR74" s="18"/>
      <c r="CS74" s="18"/>
      <c r="CT74" s="18"/>
      <c r="CU74" s="18"/>
      <c r="CV74" s="18"/>
      <c r="CW74" s="18"/>
      <c r="CX74" s="18"/>
      <c r="CY74" s="18"/>
      <c r="CZ74" s="18"/>
      <c r="DA74" s="18"/>
      <c r="DB74" s="18"/>
      <c r="DC74" s="18"/>
      <c r="DD74" s="18"/>
      <c r="DE74" s="18"/>
      <c r="DF74" s="18"/>
      <c r="DG74" s="18"/>
      <c r="DH74" s="19"/>
      <c r="DI74" s="11"/>
      <c r="DJ74" s="208"/>
      <c r="DK74" s="209"/>
      <c r="DL74" s="210"/>
      <c r="DM74" s="21"/>
      <c r="DN74" s="21"/>
      <c r="DO74" s="15"/>
      <c r="DP74" s="13"/>
      <c r="DQ74" s="14"/>
      <c r="DR74" s="18"/>
      <c r="DS74" s="15"/>
      <c r="DT74" s="82"/>
      <c r="DU74" s="33"/>
      <c r="DV74" s="34"/>
      <c r="DW74" s="8"/>
    </row>
    <row r="75" spans="1:127">
      <c r="A75" s="37"/>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3"/>
      <c r="AM75" s="14"/>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6"/>
      <c r="BX75" s="17"/>
      <c r="BY75" s="18"/>
      <c r="BZ75" s="18"/>
      <c r="CA75" s="18"/>
      <c r="CB75" s="18"/>
      <c r="CC75" s="18"/>
      <c r="CD75" s="18"/>
      <c r="CE75" s="18"/>
      <c r="CF75" s="18"/>
      <c r="CG75" s="18"/>
      <c r="CH75" s="18"/>
      <c r="CI75" s="18"/>
      <c r="CJ75" s="18"/>
      <c r="CK75" s="18"/>
      <c r="CL75" s="18"/>
      <c r="CM75" s="18"/>
      <c r="CN75" s="18"/>
      <c r="CO75" s="18"/>
      <c r="CP75" s="18"/>
      <c r="CQ75" s="18"/>
      <c r="CR75" s="18"/>
      <c r="CS75" s="18"/>
      <c r="CT75" s="18"/>
      <c r="CU75" s="18"/>
      <c r="CV75" s="18"/>
      <c r="CW75" s="18"/>
      <c r="CX75" s="18"/>
      <c r="CY75" s="18"/>
      <c r="CZ75" s="18"/>
      <c r="DA75" s="18"/>
      <c r="DB75" s="18"/>
      <c r="DC75" s="18"/>
      <c r="DD75" s="18"/>
      <c r="DE75" s="18"/>
      <c r="DF75" s="18"/>
      <c r="DG75" s="18"/>
      <c r="DH75" s="19"/>
      <c r="DI75" s="11"/>
      <c r="DJ75" s="208"/>
      <c r="DK75" s="209"/>
      <c r="DL75" s="210"/>
      <c r="DM75" s="21"/>
      <c r="DN75" s="21"/>
      <c r="DO75" s="15"/>
      <c r="DP75" s="13"/>
      <c r="DQ75" s="14"/>
      <c r="DR75" s="18"/>
      <c r="DS75" s="15"/>
      <c r="DT75" s="82"/>
      <c r="DU75" s="33"/>
      <c r="DV75" s="34"/>
      <c r="DW75" s="8"/>
    </row>
    <row r="76" spans="1:127">
      <c r="A76" s="37"/>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3"/>
      <c r="AM76" s="14"/>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6"/>
      <c r="BX76" s="17"/>
      <c r="BY76" s="18"/>
      <c r="BZ76" s="18"/>
      <c r="CA76" s="18"/>
      <c r="CB76" s="18"/>
      <c r="CC76" s="18"/>
      <c r="CD76" s="18"/>
      <c r="CE76" s="18"/>
      <c r="CF76" s="18"/>
      <c r="CG76" s="18"/>
      <c r="CH76" s="18"/>
      <c r="CI76" s="18"/>
      <c r="CJ76" s="18"/>
      <c r="CK76" s="18"/>
      <c r="CL76" s="18"/>
      <c r="CM76" s="18"/>
      <c r="CN76" s="18"/>
      <c r="CO76" s="18"/>
      <c r="CP76" s="18"/>
      <c r="CQ76" s="18"/>
      <c r="CR76" s="18"/>
      <c r="CS76" s="18"/>
      <c r="CT76" s="18"/>
      <c r="CU76" s="18"/>
      <c r="CV76" s="18"/>
      <c r="CW76" s="18"/>
      <c r="CX76" s="18"/>
      <c r="CY76" s="18"/>
      <c r="CZ76" s="18"/>
      <c r="DA76" s="18"/>
      <c r="DB76" s="18"/>
      <c r="DC76" s="18"/>
      <c r="DD76" s="18"/>
      <c r="DE76" s="18"/>
      <c r="DF76" s="18"/>
      <c r="DG76" s="18"/>
      <c r="DH76" s="19"/>
      <c r="DI76" s="11"/>
      <c r="DJ76" s="208"/>
      <c r="DK76" s="209"/>
      <c r="DL76" s="210"/>
      <c r="DM76" s="21"/>
      <c r="DN76" s="21"/>
      <c r="DO76" s="15"/>
      <c r="DP76" s="13"/>
      <c r="DQ76" s="14"/>
      <c r="DR76" s="18"/>
      <c r="DS76" s="15"/>
      <c r="DT76" s="82"/>
      <c r="DU76" s="33"/>
      <c r="DV76" s="34"/>
      <c r="DW76" s="8"/>
    </row>
    <row r="77" spans="1:127">
      <c r="A77" s="37"/>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3"/>
      <c r="AM77" s="14"/>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6"/>
      <c r="BX77" s="17"/>
      <c r="BY77" s="18"/>
      <c r="BZ77" s="18"/>
      <c r="CA77" s="18"/>
      <c r="CB77" s="18"/>
      <c r="CC77" s="18"/>
      <c r="CD77" s="18"/>
      <c r="CE77" s="18"/>
      <c r="CF77" s="18"/>
      <c r="CG77" s="18"/>
      <c r="CH77" s="18"/>
      <c r="CI77" s="18"/>
      <c r="CJ77" s="18"/>
      <c r="CK77" s="18"/>
      <c r="CL77" s="18"/>
      <c r="CM77" s="18"/>
      <c r="CN77" s="18"/>
      <c r="CO77" s="18"/>
      <c r="CP77" s="18"/>
      <c r="CQ77" s="18"/>
      <c r="CR77" s="18"/>
      <c r="CS77" s="18"/>
      <c r="CT77" s="18"/>
      <c r="CU77" s="18"/>
      <c r="CV77" s="18"/>
      <c r="CW77" s="18"/>
      <c r="CX77" s="18"/>
      <c r="CY77" s="18"/>
      <c r="CZ77" s="18"/>
      <c r="DA77" s="18"/>
      <c r="DB77" s="18"/>
      <c r="DC77" s="18"/>
      <c r="DD77" s="18"/>
      <c r="DE77" s="18"/>
      <c r="DF77" s="18"/>
      <c r="DG77" s="18"/>
      <c r="DH77" s="19"/>
      <c r="DI77" s="11"/>
      <c r="DJ77" s="208"/>
      <c r="DK77" s="209"/>
      <c r="DL77" s="210"/>
      <c r="DM77" s="21"/>
      <c r="DN77" s="21"/>
      <c r="DO77" s="15"/>
      <c r="DP77" s="13"/>
      <c r="DQ77" s="14"/>
      <c r="DR77" s="18"/>
      <c r="DS77" s="15"/>
      <c r="DT77" s="82"/>
      <c r="DU77" s="33"/>
      <c r="DV77" s="34"/>
      <c r="DW77" s="8"/>
    </row>
    <row r="78" spans="1:127">
      <c r="A78" s="37"/>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3"/>
      <c r="AM78" s="14"/>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6"/>
      <c r="BX78" s="17"/>
      <c r="BY78" s="18"/>
      <c r="BZ78" s="18"/>
      <c r="CA78" s="18"/>
      <c r="CB78" s="18"/>
      <c r="CC78" s="18"/>
      <c r="CD78" s="18"/>
      <c r="CE78" s="18"/>
      <c r="CF78" s="18"/>
      <c r="CG78" s="18"/>
      <c r="CH78" s="18"/>
      <c r="CI78" s="18"/>
      <c r="CJ78" s="18"/>
      <c r="CK78" s="18"/>
      <c r="CL78" s="18"/>
      <c r="CM78" s="18"/>
      <c r="CN78" s="18"/>
      <c r="CO78" s="18"/>
      <c r="CP78" s="18"/>
      <c r="CQ78" s="18"/>
      <c r="CR78" s="18"/>
      <c r="CS78" s="18"/>
      <c r="CT78" s="18"/>
      <c r="CU78" s="18"/>
      <c r="CV78" s="18"/>
      <c r="CW78" s="18"/>
      <c r="CX78" s="18"/>
      <c r="CY78" s="18"/>
      <c r="CZ78" s="18"/>
      <c r="DA78" s="18"/>
      <c r="DB78" s="18"/>
      <c r="DC78" s="18"/>
      <c r="DD78" s="18"/>
      <c r="DE78" s="18"/>
      <c r="DF78" s="18"/>
      <c r="DG78" s="18"/>
      <c r="DH78" s="19"/>
      <c r="DI78" s="11"/>
      <c r="DJ78" s="208"/>
      <c r="DK78" s="209"/>
      <c r="DL78" s="210"/>
      <c r="DM78" s="21"/>
      <c r="DN78" s="21"/>
      <c r="DO78" s="15"/>
      <c r="DP78" s="13"/>
      <c r="DQ78" s="14"/>
      <c r="DR78" s="18"/>
      <c r="DS78" s="15"/>
      <c r="DT78" s="82"/>
      <c r="DU78" s="33"/>
      <c r="DV78" s="34"/>
      <c r="DW78" s="8"/>
    </row>
    <row r="79" spans="1:127">
      <c r="A79" s="37"/>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3"/>
      <c r="AM79" s="14"/>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6"/>
      <c r="BX79" s="17"/>
      <c r="BY79" s="18"/>
      <c r="BZ79" s="18"/>
      <c r="CA79" s="18"/>
      <c r="CB79" s="18"/>
      <c r="CC79" s="18"/>
      <c r="CD79" s="18"/>
      <c r="CE79" s="18"/>
      <c r="CF79" s="18"/>
      <c r="CG79" s="18"/>
      <c r="CH79" s="18"/>
      <c r="CI79" s="18"/>
      <c r="CJ79" s="18"/>
      <c r="CK79" s="18"/>
      <c r="CL79" s="18"/>
      <c r="CM79" s="18"/>
      <c r="CN79" s="18"/>
      <c r="CO79" s="18"/>
      <c r="CP79" s="18"/>
      <c r="CQ79" s="18"/>
      <c r="CR79" s="18"/>
      <c r="CS79" s="18"/>
      <c r="CT79" s="18"/>
      <c r="CU79" s="18"/>
      <c r="CV79" s="18"/>
      <c r="CW79" s="18"/>
      <c r="CX79" s="18"/>
      <c r="CY79" s="18"/>
      <c r="CZ79" s="18"/>
      <c r="DA79" s="18"/>
      <c r="DB79" s="18"/>
      <c r="DC79" s="18"/>
      <c r="DD79" s="18"/>
      <c r="DE79" s="18"/>
      <c r="DF79" s="18"/>
      <c r="DG79" s="18"/>
      <c r="DH79" s="19"/>
      <c r="DI79" s="11"/>
      <c r="DJ79" s="208"/>
      <c r="DK79" s="209"/>
      <c r="DL79" s="210"/>
      <c r="DM79" s="21"/>
      <c r="DN79" s="21"/>
      <c r="DO79" s="15"/>
      <c r="DP79" s="13"/>
      <c r="DQ79" s="14"/>
      <c r="DR79" s="18"/>
      <c r="DS79" s="15"/>
      <c r="DT79" s="82"/>
      <c r="DU79" s="33"/>
      <c r="DV79" s="34"/>
      <c r="DW79" s="8"/>
    </row>
    <row r="80" spans="1:127">
      <c r="A80" s="37"/>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3"/>
      <c r="AM80" s="14"/>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6"/>
      <c r="BX80" s="17"/>
      <c r="BY80" s="18"/>
      <c r="BZ80" s="18"/>
      <c r="CA80" s="18"/>
      <c r="CB80" s="18"/>
      <c r="CC80" s="18"/>
      <c r="CD80" s="18"/>
      <c r="CE80" s="18"/>
      <c r="CF80" s="18"/>
      <c r="CG80" s="18"/>
      <c r="CH80" s="18"/>
      <c r="CI80" s="18"/>
      <c r="CJ80" s="18"/>
      <c r="CK80" s="18"/>
      <c r="CL80" s="18"/>
      <c r="CM80" s="18"/>
      <c r="CN80" s="18"/>
      <c r="CO80" s="18"/>
      <c r="CP80" s="18"/>
      <c r="CQ80" s="18"/>
      <c r="CR80" s="18"/>
      <c r="CS80" s="18"/>
      <c r="CT80" s="18"/>
      <c r="CU80" s="18"/>
      <c r="CV80" s="18"/>
      <c r="CW80" s="18"/>
      <c r="CX80" s="18"/>
      <c r="CY80" s="18"/>
      <c r="CZ80" s="18"/>
      <c r="DA80" s="18"/>
      <c r="DB80" s="18"/>
      <c r="DC80" s="18"/>
      <c r="DD80" s="18"/>
      <c r="DE80" s="18"/>
      <c r="DF80" s="18"/>
      <c r="DG80" s="18"/>
      <c r="DH80" s="19"/>
      <c r="DI80" s="11"/>
      <c r="DJ80" s="208"/>
      <c r="DK80" s="209"/>
      <c r="DL80" s="210"/>
      <c r="DM80" s="21"/>
      <c r="DN80" s="21"/>
      <c r="DO80" s="15"/>
      <c r="DP80" s="13"/>
      <c r="DQ80" s="14"/>
      <c r="DR80" s="18"/>
      <c r="DS80" s="15"/>
      <c r="DT80" s="82"/>
      <c r="DU80" s="33"/>
      <c r="DV80" s="34"/>
      <c r="DW80" s="8"/>
    </row>
    <row r="81" spans="1:127">
      <c r="A81" s="37"/>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3"/>
      <c r="AM81" s="14"/>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6"/>
      <c r="BX81" s="17"/>
      <c r="BY81" s="18"/>
      <c r="BZ81" s="18"/>
      <c r="CA81" s="18"/>
      <c r="CB81" s="18"/>
      <c r="CC81" s="18"/>
      <c r="CD81" s="18"/>
      <c r="CE81" s="18"/>
      <c r="CF81" s="18"/>
      <c r="CG81" s="18"/>
      <c r="CH81" s="18"/>
      <c r="CI81" s="18"/>
      <c r="CJ81" s="18"/>
      <c r="CK81" s="18"/>
      <c r="CL81" s="18"/>
      <c r="CM81" s="18"/>
      <c r="CN81" s="18"/>
      <c r="CO81" s="18"/>
      <c r="CP81" s="18"/>
      <c r="CQ81" s="18"/>
      <c r="CR81" s="18"/>
      <c r="CS81" s="18"/>
      <c r="CT81" s="18"/>
      <c r="CU81" s="18"/>
      <c r="CV81" s="18"/>
      <c r="CW81" s="18"/>
      <c r="CX81" s="18"/>
      <c r="CY81" s="18"/>
      <c r="CZ81" s="18"/>
      <c r="DA81" s="18"/>
      <c r="DB81" s="18"/>
      <c r="DC81" s="18"/>
      <c r="DD81" s="18"/>
      <c r="DE81" s="18"/>
      <c r="DF81" s="18"/>
      <c r="DG81" s="18"/>
      <c r="DH81" s="19"/>
      <c r="DI81" s="11"/>
      <c r="DJ81" s="208"/>
      <c r="DK81" s="209"/>
      <c r="DL81" s="210"/>
      <c r="DM81" s="21"/>
      <c r="DN81" s="21"/>
      <c r="DO81" s="15"/>
      <c r="DP81" s="13"/>
      <c r="DQ81" s="14"/>
      <c r="DR81" s="18"/>
      <c r="DS81" s="15"/>
      <c r="DT81" s="82"/>
      <c r="DU81" s="33"/>
      <c r="DV81" s="34"/>
      <c r="DW81" s="8"/>
    </row>
    <row r="82" spans="1:127">
      <c r="A82" s="37"/>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3"/>
      <c r="AM82" s="14"/>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6"/>
      <c r="BX82" s="17"/>
      <c r="BY82" s="18"/>
      <c r="BZ82" s="18"/>
      <c r="CA82" s="18"/>
      <c r="CB82" s="18"/>
      <c r="CC82" s="18"/>
      <c r="CD82" s="18"/>
      <c r="CE82" s="18"/>
      <c r="CF82" s="18"/>
      <c r="CG82" s="18"/>
      <c r="CH82" s="18"/>
      <c r="CI82" s="18"/>
      <c r="CJ82" s="18"/>
      <c r="CK82" s="18"/>
      <c r="CL82" s="18"/>
      <c r="CM82" s="18"/>
      <c r="CN82" s="18"/>
      <c r="CO82" s="18"/>
      <c r="CP82" s="18"/>
      <c r="CQ82" s="18"/>
      <c r="CR82" s="18"/>
      <c r="CS82" s="18"/>
      <c r="CT82" s="18"/>
      <c r="CU82" s="18"/>
      <c r="CV82" s="18"/>
      <c r="CW82" s="18"/>
      <c r="CX82" s="18"/>
      <c r="CY82" s="18"/>
      <c r="CZ82" s="18"/>
      <c r="DA82" s="18"/>
      <c r="DB82" s="18"/>
      <c r="DC82" s="18"/>
      <c r="DD82" s="18"/>
      <c r="DE82" s="18"/>
      <c r="DF82" s="18"/>
      <c r="DG82" s="18"/>
      <c r="DH82" s="19"/>
      <c r="DI82" s="11"/>
      <c r="DJ82" s="208"/>
      <c r="DK82" s="209"/>
      <c r="DL82" s="210"/>
      <c r="DM82" s="21"/>
      <c r="DN82" s="21"/>
      <c r="DO82" s="15"/>
      <c r="DP82" s="13"/>
      <c r="DQ82" s="14"/>
      <c r="DR82" s="18"/>
      <c r="DS82" s="15"/>
      <c r="DT82" s="82"/>
      <c r="DU82" s="33"/>
      <c r="DV82" s="34"/>
      <c r="DW82" s="8"/>
    </row>
    <row r="83" spans="1:127">
      <c r="A83" s="37"/>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3"/>
      <c r="AM83" s="14"/>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6"/>
      <c r="BX83" s="17"/>
      <c r="BY83" s="18"/>
      <c r="BZ83" s="18"/>
      <c r="CA83" s="18"/>
      <c r="CB83" s="18"/>
      <c r="CC83" s="18"/>
      <c r="CD83" s="18"/>
      <c r="CE83" s="18"/>
      <c r="CF83" s="18"/>
      <c r="CG83" s="18"/>
      <c r="CH83" s="18"/>
      <c r="CI83" s="18"/>
      <c r="CJ83" s="18"/>
      <c r="CK83" s="18"/>
      <c r="CL83" s="18"/>
      <c r="CM83" s="18"/>
      <c r="CN83" s="18"/>
      <c r="CO83" s="18"/>
      <c r="CP83" s="18"/>
      <c r="CQ83" s="18"/>
      <c r="CR83" s="18"/>
      <c r="CS83" s="18"/>
      <c r="CT83" s="18"/>
      <c r="CU83" s="18"/>
      <c r="CV83" s="18"/>
      <c r="CW83" s="18"/>
      <c r="CX83" s="18"/>
      <c r="CY83" s="18"/>
      <c r="CZ83" s="18"/>
      <c r="DA83" s="18"/>
      <c r="DB83" s="18"/>
      <c r="DC83" s="18"/>
      <c r="DD83" s="18"/>
      <c r="DE83" s="18"/>
      <c r="DF83" s="18"/>
      <c r="DG83" s="18"/>
      <c r="DH83" s="19"/>
      <c r="DI83" s="11"/>
      <c r="DJ83" s="208"/>
      <c r="DK83" s="209"/>
      <c r="DL83" s="210"/>
      <c r="DM83" s="21"/>
      <c r="DN83" s="21"/>
      <c r="DO83" s="15"/>
      <c r="DP83" s="13"/>
      <c r="DQ83" s="14"/>
      <c r="DR83" s="18"/>
      <c r="DS83" s="15"/>
      <c r="DT83" s="82"/>
      <c r="DU83" s="33"/>
      <c r="DV83" s="34"/>
      <c r="DW83" s="8"/>
    </row>
    <row r="84" spans="1:127">
      <c r="A84" s="37"/>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3"/>
      <c r="AM84" s="14"/>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6"/>
      <c r="BX84" s="17"/>
      <c r="BY84" s="18"/>
      <c r="BZ84" s="18"/>
      <c r="CA84" s="18"/>
      <c r="CB84" s="18"/>
      <c r="CC84" s="18"/>
      <c r="CD84" s="18"/>
      <c r="CE84" s="18"/>
      <c r="CF84" s="18"/>
      <c r="CG84" s="18"/>
      <c r="CH84" s="18"/>
      <c r="CI84" s="18"/>
      <c r="CJ84" s="18"/>
      <c r="CK84" s="18"/>
      <c r="CL84" s="18"/>
      <c r="CM84" s="18"/>
      <c r="CN84" s="18"/>
      <c r="CO84" s="18"/>
      <c r="CP84" s="18"/>
      <c r="CQ84" s="18"/>
      <c r="CR84" s="18"/>
      <c r="CS84" s="18"/>
      <c r="CT84" s="18"/>
      <c r="CU84" s="18"/>
      <c r="CV84" s="18"/>
      <c r="CW84" s="18"/>
      <c r="CX84" s="18"/>
      <c r="CY84" s="18"/>
      <c r="CZ84" s="18"/>
      <c r="DA84" s="18"/>
      <c r="DB84" s="18"/>
      <c r="DC84" s="18"/>
      <c r="DD84" s="18"/>
      <c r="DE84" s="18"/>
      <c r="DF84" s="18"/>
      <c r="DG84" s="18"/>
      <c r="DH84" s="19"/>
      <c r="DI84" s="11"/>
      <c r="DJ84" s="208"/>
      <c r="DK84" s="209"/>
      <c r="DL84" s="210"/>
      <c r="DM84" s="21"/>
      <c r="DN84" s="21"/>
      <c r="DO84" s="15"/>
      <c r="DP84" s="13"/>
      <c r="DQ84" s="14"/>
      <c r="DR84" s="18"/>
      <c r="DS84" s="15"/>
      <c r="DT84" s="82"/>
      <c r="DU84" s="33"/>
      <c r="DV84" s="34"/>
      <c r="DW84" s="8"/>
    </row>
    <row r="85" spans="1:127">
      <c r="A85" s="37"/>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3"/>
      <c r="AM85" s="14"/>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6"/>
      <c r="BX85" s="17"/>
      <c r="BY85" s="18"/>
      <c r="BZ85" s="18"/>
      <c r="CA85" s="18"/>
      <c r="CB85" s="18"/>
      <c r="CC85" s="18"/>
      <c r="CD85" s="18"/>
      <c r="CE85" s="18"/>
      <c r="CF85" s="18"/>
      <c r="CG85" s="18"/>
      <c r="CH85" s="18"/>
      <c r="CI85" s="18"/>
      <c r="CJ85" s="18"/>
      <c r="CK85" s="18"/>
      <c r="CL85" s="18"/>
      <c r="CM85" s="18"/>
      <c r="CN85" s="18"/>
      <c r="CO85" s="18"/>
      <c r="CP85" s="18"/>
      <c r="CQ85" s="18"/>
      <c r="CR85" s="18"/>
      <c r="CS85" s="18"/>
      <c r="CT85" s="18"/>
      <c r="CU85" s="18"/>
      <c r="CV85" s="18"/>
      <c r="CW85" s="18"/>
      <c r="CX85" s="18"/>
      <c r="CY85" s="18"/>
      <c r="CZ85" s="18"/>
      <c r="DA85" s="18"/>
      <c r="DB85" s="18"/>
      <c r="DC85" s="18"/>
      <c r="DD85" s="18"/>
      <c r="DE85" s="18"/>
      <c r="DF85" s="18"/>
      <c r="DG85" s="18"/>
      <c r="DH85" s="19"/>
      <c r="DI85" s="11"/>
      <c r="DJ85" s="208"/>
      <c r="DK85" s="209"/>
      <c r="DL85" s="210"/>
      <c r="DM85" s="21"/>
      <c r="DN85" s="21"/>
      <c r="DO85" s="15"/>
      <c r="DP85" s="13"/>
      <c r="DQ85" s="14"/>
      <c r="DR85" s="18"/>
      <c r="DS85" s="15"/>
      <c r="DT85" s="82"/>
      <c r="DU85" s="33"/>
      <c r="DV85" s="34"/>
      <c r="DW85" s="8"/>
    </row>
    <row r="86" spans="1:127">
      <c r="A86" s="37"/>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3"/>
      <c r="AM86" s="14"/>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6"/>
      <c r="BX86" s="17"/>
      <c r="BY86" s="18"/>
      <c r="BZ86" s="18"/>
      <c r="CA86" s="18"/>
      <c r="CB86" s="18"/>
      <c r="CC86" s="18"/>
      <c r="CD86" s="18"/>
      <c r="CE86" s="18"/>
      <c r="CF86" s="18"/>
      <c r="CG86" s="18"/>
      <c r="CH86" s="18"/>
      <c r="CI86" s="18"/>
      <c r="CJ86" s="18"/>
      <c r="CK86" s="18"/>
      <c r="CL86" s="18"/>
      <c r="CM86" s="18"/>
      <c r="CN86" s="18"/>
      <c r="CO86" s="18"/>
      <c r="CP86" s="18"/>
      <c r="CQ86" s="18"/>
      <c r="CR86" s="18"/>
      <c r="CS86" s="18"/>
      <c r="CT86" s="18"/>
      <c r="CU86" s="18"/>
      <c r="CV86" s="18"/>
      <c r="CW86" s="18"/>
      <c r="CX86" s="18"/>
      <c r="CY86" s="18"/>
      <c r="CZ86" s="18"/>
      <c r="DA86" s="18"/>
      <c r="DB86" s="18"/>
      <c r="DC86" s="18"/>
      <c r="DD86" s="18"/>
      <c r="DE86" s="18"/>
      <c r="DF86" s="18"/>
      <c r="DG86" s="18"/>
      <c r="DH86" s="19"/>
      <c r="DI86" s="11"/>
      <c r="DJ86" s="208"/>
      <c r="DK86" s="209"/>
      <c r="DL86" s="210"/>
      <c r="DM86" s="21"/>
      <c r="DN86" s="21"/>
      <c r="DO86" s="15"/>
      <c r="DP86" s="13"/>
      <c r="DQ86" s="14"/>
      <c r="DR86" s="18"/>
      <c r="DS86" s="15"/>
      <c r="DT86" s="82"/>
      <c r="DU86" s="33"/>
      <c r="DV86" s="34"/>
      <c r="DW86" s="8"/>
    </row>
    <row r="87" spans="1:127">
      <c r="A87" s="37"/>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3"/>
      <c r="AM87" s="14"/>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6"/>
      <c r="BX87" s="17"/>
      <c r="BY87" s="18"/>
      <c r="BZ87" s="18"/>
      <c r="CA87" s="18"/>
      <c r="CB87" s="18"/>
      <c r="CC87" s="18"/>
      <c r="CD87" s="18"/>
      <c r="CE87" s="18"/>
      <c r="CF87" s="18"/>
      <c r="CG87" s="18"/>
      <c r="CH87" s="18"/>
      <c r="CI87" s="18"/>
      <c r="CJ87" s="18"/>
      <c r="CK87" s="18"/>
      <c r="CL87" s="18"/>
      <c r="CM87" s="18"/>
      <c r="CN87" s="18"/>
      <c r="CO87" s="18"/>
      <c r="CP87" s="18"/>
      <c r="CQ87" s="18"/>
      <c r="CR87" s="18"/>
      <c r="CS87" s="18"/>
      <c r="CT87" s="18"/>
      <c r="CU87" s="18"/>
      <c r="CV87" s="18"/>
      <c r="CW87" s="18"/>
      <c r="CX87" s="18"/>
      <c r="CY87" s="18"/>
      <c r="CZ87" s="18"/>
      <c r="DA87" s="18"/>
      <c r="DB87" s="18"/>
      <c r="DC87" s="18"/>
      <c r="DD87" s="18"/>
      <c r="DE87" s="18"/>
      <c r="DF87" s="18"/>
      <c r="DG87" s="18"/>
      <c r="DH87" s="19"/>
      <c r="DI87" s="11"/>
      <c r="DJ87" s="208"/>
      <c r="DK87" s="209"/>
      <c r="DL87" s="210"/>
      <c r="DM87" s="21"/>
      <c r="DN87" s="21"/>
      <c r="DO87" s="15"/>
      <c r="DP87" s="13"/>
      <c r="DQ87" s="14"/>
      <c r="DR87" s="18"/>
      <c r="DS87" s="15"/>
      <c r="DT87" s="82"/>
      <c r="DU87" s="33"/>
      <c r="DV87" s="34"/>
      <c r="DW87" s="8"/>
    </row>
    <row r="88" spans="1:127">
      <c r="A88" s="37"/>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3"/>
      <c r="AM88" s="14"/>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6"/>
      <c r="BX88" s="17"/>
      <c r="BY88" s="18"/>
      <c r="BZ88" s="18"/>
      <c r="CA88" s="18"/>
      <c r="CB88" s="18"/>
      <c r="CC88" s="18"/>
      <c r="CD88" s="18"/>
      <c r="CE88" s="18"/>
      <c r="CF88" s="18"/>
      <c r="CG88" s="18"/>
      <c r="CH88" s="18"/>
      <c r="CI88" s="18"/>
      <c r="CJ88" s="18"/>
      <c r="CK88" s="18"/>
      <c r="CL88" s="18"/>
      <c r="CM88" s="18"/>
      <c r="CN88" s="18"/>
      <c r="CO88" s="18"/>
      <c r="CP88" s="18"/>
      <c r="CQ88" s="18"/>
      <c r="CR88" s="18"/>
      <c r="CS88" s="18"/>
      <c r="CT88" s="18"/>
      <c r="CU88" s="18"/>
      <c r="CV88" s="18"/>
      <c r="CW88" s="18"/>
      <c r="CX88" s="18"/>
      <c r="CY88" s="18"/>
      <c r="CZ88" s="18"/>
      <c r="DA88" s="18"/>
      <c r="DB88" s="18"/>
      <c r="DC88" s="18"/>
      <c r="DD88" s="18"/>
      <c r="DE88" s="18"/>
      <c r="DF88" s="18"/>
      <c r="DG88" s="18"/>
      <c r="DH88" s="19"/>
      <c r="DI88" s="11"/>
      <c r="DJ88" s="208"/>
      <c r="DK88" s="209"/>
      <c r="DL88" s="210"/>
      <c r="DM88" s="21"/>
      <c r="DN88" s="21"/>
      <c r="DO88" s="15"/>
      <c r="DP88" s="13"/>
      <c r="DQ88" s="14"/>
      <c r="DR88" s="18"/>
      <c r="DS88" s="15"/>
      <c r="DT88" s="82"/>
      <c r="DU88" s="33"/>
      <c r="DV88" s="34"/>
      <c r="DW88" s="8"/>
    </row>
    <row r="89" spans="1:127">
      <c r="A89" s="37"/>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3"/>
      <c r="AM89" s="14"/>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6"/>
      <c r="BX89" s="17"/>
      <c r="BY89" s="18"/>
      <c r="BZ89" s="18"/>
      <c r="CA89" s="18"/>
      <c r="CB89" s="18"/>
      <c r="CC89" s="18"/>
      <c r="CD89" s="18"/>
      <c r="CE89" s="18"/>
      <c r="CF89" s="18"/>
      <c r="CG89" s="18"/>
      <c r="CH89" s="18"/>
      <c r="CI89" s="18"/>
      <c r="CJ89" s="18"/>
      <c r="CK89" s="18"/>
      <c r="CL89" s="18"/>
      <c r="CM89" s="18"/>
      <c r="CN89" s="18"/>
      <c r="CO89" s="18"/>
      <c r="CP89" s="18"/>
      <c r="CQ89" s="18"/>
      <c r="CR89" s="18"/>
      <c r="CS89" s="18"/>
      <c r="CT89" s="18"/>
      <c r="CU89" s="18"/>
      <c r="CV89" s="18"/>
      <c r="CW89" s="18"/>
      <c r="CX89" s="18"/>
      <c r="CY89" s="18"/>
      <c r="CZ89" s="18"/>
      <c r="DA89" s="18"/>
      <c r="DB89" s="18"/>
      <c r="DC89" s="18"/>
      <c r="DD89" s="18"/>
      <c r="DE89" s="18"/>
      <c r="DF89" s="18"/>
      <c r="DG89" s="18"/>
      <c r="DH89" s="19"/>
      <c r="DI89" s="11"/>
      <c r="DJ89" s="208"/>
      <c r="DK89" s="209"/>
      <c r="DL89" s="210"/>
      <c r="DM89" s="21"/>
      <c r="DN89" s="21"/>
      <c r="DO89" s="15"/>
      <c r="DP89" s="13"/>
      <c r="DQ89" s="14"/>
      <c r="DR89" s="18"/>
      <c r="DS89" s="15"/>
      <c r="DT89" s="82"/>
      <c r="DU89" s="33"/>
      <c r="DV89" s="34"/>
      <c r="DW89" s="8"/>
    </row>
    <row r="90" spans="1:127">
      <c r="A90" s="37"/>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3"/>
      <c r="AM90" s="14"/>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6"/>
      <c r="BX90" s="17"/>
      <c r="BY90" s="18"/>
      <c r="BZ90" s="18"/>
      <c r="CA90" s="18"/>
      <c r="CB90" s="18"/>
      <c r="CC90" s="18"/>
      <c r="CD90" s="18"/>
      <c r="CE90" s="18"/>
      <c r="CF90" s="18"/>
      <c r="CG90" s="18"/>
      <c r="CH90" s="18"/>
      <c r="CI90" s="18"/>
      <c r="CJ90" s="18"/>
      <c r="CK90" s="18"/>
      <c r="CL90" s="18"/>
      <c r="CM90" s="18"/>
      <c r="CN90" s="18"/>
      <c r="CO90" s="18"/>
      <c r="CP90" s="18"/>
      <c r="CQ90" s="18"/>
      <c r="CR90" s="18"/>
      <c r="CS90" s="18"/>
      <c r="CT90" s="18"/>
      <c r="CU90" s="18"/>
      <c r="CV90" s="18"/>
      <c r="CW90" s="18"/>
      <c r="CX90" s="18"/>
      <c r="CY90" s="18"/>
      <c r="CZ90" s="18"/>
      <c r="DA90" s="18"/>
      <c r="DB90" s="18"/>
      <c r="DC90" s="18"/>
      <c r="DD90" s="18"/>
      <c r="DE90" s="18"/>
      <c r="DF90" s="18"/>
      <c r="DG90" s="18"/>
      <c r="DH90" s="19"/>
      <c r="DI90" s="11"/>
      <c r="DJ90" s="208"/>
      <c r="DK90" s="209"/>
      <c r="DL90" s="210"/>
      <c r="DM90" s="21"/>
      <c r="DN90" s="21"/>
      <c r="DO90" s="15"/>
      <c r="DP90" s="13"/>
      <c r="DQ90" s="14"/>
      <c r="DR90" s="18"/>
      <c r="DS90" s="15"/>
      <c r="DT90" s="82"/>
      <c r="DU90" s="33"/>
      <c r="DV90" s="34"/>
      <c r="DW90" s="8"/>
    </row>
    <row r="91" spans="1:127">
      <c r="A91" s="37"/>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3"/>
      <c r="AM91" s="14"/>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6"/>
      <c r="BX91" s="17"/>
      <c r="BY91" s="18"/>
      <c r="BZ91" s="18"/>
      <c r="CA91" s="18"/>
      <c r="CB91" s="18"/>
      <c r="CC91" s="18"/>
      <c r="CD91" s="18"/>
      <c r="CE91" s="18"/>
      <c r="CF91" s="18"/>
      <c r="CG91" s="18"/>
      <c r="CH91" s="18"/>
      <c r="CI91" s="18"/>
      <c r="CJ91" s="18"/>
      <c r="CK91" s="18"/>
      <c r="CL91" s="18"/>
      <c r="CM91" s="18"/>
      <c r="CN91" s="18"/>
      <c r="CO91" s="18"/>
      <c r="CP91" s="18"/>
      <c r="CQ91" s="18"/>
      <c r="CR91" s="18"/>
      <c r="CS91" s="18"/>
      <c r="CT91" s="18"/>
      <c r="CU91" s="18"/>
      <c r="CV91" s="18"/>
      <c r="CW91" s="18"/>
      <c r="CX91" s="18"/>
      <c r="CY91" s="18"/>
      <c r="CZ91" s="18"/>
      <c r="DA91" s="18"/>
      <c r="DB91" s="18"/>
      <c r="DC91" s="18"/>
      <c r="DD91" s="18"/>
      <c r="DE91" s="18"/>
      <c r="DF91" s="18"/>
      <c r="DG91" s="18"/>
      <c r="DH91" s="19"/>
      <c r="DI91" s="11"/>
      <c r="DJ91" s="208"/>
      <c r="DK91" s="209"/>
      <c r="DL91" s="210"/>
      <c r="DM91" s="21"/>
      <c r="DN91" s="21"/>
      <c r="DO91" s="15"/>
      <c r="DP91" s="13"/>
      <c r="DQ91" s="14"/>
      <c r="DR91" s="18"/>
      <c r="DS91" s="15"/>
      <c r="DT91" s="82"/>
      <c r="DU91" s="33"/>
      <c r="DV91" s="34"/>
      <c r="DW91" s="8"/>
    </row>
    <row r="92" spans="1:127">
      <c r="A92" s="37"/>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3"/>
      <c r="AM92" s="14"/>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6"/>
      <c r="BX92" s="17"/>
      <c r="BY92" s="18"/>
      <c r="BZ92" s="18"/>
      <c r="CA92" s="18"/>
      <c r="CB92" s="18"/>
      <c r="CC92" s="18"/>
      <c r="CD92" s="18"/>
      <c r="CE92" s="18"/>
      <c r="CF92" s="18"/>
      <c r="CG92" s="18"/>
      <c r="CH92" s="18"/>
      <c r="CI92" s="18"/>
      <c r="CJ92" s="18"/>
      <c r="CK92" s="18"/>
      <c r="CL92" s="18"/>
      <c r="CM92" s="18"/>
      <c r="CN92" s="18"/>
      <c r="CO92" s="18"/>
      <c r="CP92" s="18"/>
      <c r="CQ92" s="18"/>
      <c r="CR92" s="18"/>
      <c r="CS92" s="18"/>
      <c r="CT92" s="18"/>
      <c r="CU92" s="18"/>
      <c r="CV92" s="18"/>
      <c r="CW92" s="18"/>
      <c r="CX92" s="18"/>
      <c r="CY92" s="18"/>
      <c r="CZ92" s="18"/>
      <c r="DA92" s="18"/>
      <c r="DB92" s="18"/>
      <c r="DC92" s="18"/>
      <c r="DD92" s="18"/>
      <c r="DE92" s="18"/>
      <c r="DF92" s="18"/>
      <c r="DG92" s="18"/>
      <c r="DH92" s="19"/>
      <c r="DI92" s="11"/>
      <c r="DJ92" s="208"/>
      <c r="DK92" s="209"/>
      <c r="DL92" s="210"/>
      <c r="DM92" s="21"/>
      <c r="DN92" s="21"/>
      <c r="DO92" s="15"/>
      <c r="DP92" s="13"/>
      <c r="DQ92" s="14"/>
      <c r="DR92" s="18"/>
      <c r="DS92" s="15"/>
      <c r="DT92" s="82"/>
      <c r="DU92" s="33"/>
      <c r="DV92" s="34"/>
      <c r="DW92" s="8"/>
    </row>
    <row r="93" spans="1:127">
      <c r="A93" s="37"/>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3"/>
      <c r="AM93" s="14"/>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6"/>
      <c r="BX93" s="17"/>
      <c r="BY93" s="18"/>
      <c r="BZ93" s="18"/>
      <c r="CA93" s="18"/>
      <c r="CB93" s="18"/>
      <c r="CC93" s="18"/>
      <c r="CD93" s="18"/>
      <c r="CE93" s="18"/>
      <c r="CF93" s="18"/>
      <c r="CG93" s="18"/>
      <c r="CH93" s="18"/>
      <c r="CI93" s="18"/>
      <c r="CJ93" s="18"/>
      <c r="CK93" s="18"/>
      <c r="CL93" s="18"/>
      <c r="CM93" s="18"/>
      <c r="CN93" s="18"/>
      <c r="CO93" s="18"/>
      <c r="CP93" s="18"/>
      <c r="CQ93" s="18"/>
      <c r="CR93" s="18"/>
      <c r="CS93" s="18"/>
      <c r="CT93" s="18"/>
      <c r="CU93" s="18"/>
      <c r="CV93" s="18"/>
      <c r="CW93" s="18"/>
      <c r="CX93" s="18"/>
      <c r="CY93" s="18"/>
      <c r="CZ93" s="18"/>
      <c r="DA93" s="18"/>
      <c r="DB93" s="18"/>
      <c r="DC93" s="18"/>
      <c r="DD93" s="18"/>
      <c r="DE93" s="18"/>
      <c r="DF93" s="18"/>
      <c r="DG93" s="18"/>
      <c r="DH93" s="19"/>
      <c r="DI93" s="11"/>
      <c r="DJ93" s="208"/>
      <c r="DK93" s="209"/>
      <c r="DL93" s="210"/>
      <c r="DM93" s="21"/>
      <c r="DN93" s="21"/>
      <c r="DO93" s="15"/>
      <c r="DP93" s="13"/>
      <c r="DQ93" s="14"/>
      <c r="DR93" s="18"/>
      <c r="DS93" s="15"/>
      <c r="DT93" s="82"/>
      <c r="DU93" s="33"/>
      <c r="DV93" s="34"/>
      <c r="DW93" s="8"/>
    </row>
    <row r="94" spans="1:127">
      <c r="A94" s="37"/>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3"/>
      <c r="AM94" s="14"/>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6"/>
      <c r="BX94" s="17"/>
      <c r="BY94" s="18"/>
      <c r="BZ94" s="18"/>
      <c r="CA94" s="18"/>
      <c r="CB94" s="18"/>
      <c r="CC94" s="18"/>
      <c r="CD94" s="18"/>
      <c r="CE94" s="18"/>
      <c r="CF94" s="18"/>
      <c r="CG94" s="18"/>
      <c r="CH94" s="18"/>
      <c r="CI94" s="18"/>
      <c r="CJ94" s="18"/>
      <c r="CK94" s="18"/>
      <c r="CL94" s="18"/>
      <c r="CM94" s="18"/>
      <c r="CN94" s="18"/>
      <c r="CO94" s="18"/>
      <c r="CP94" s="18"/>
      <c r="CQ94" s="18"/>
      <c r="CR94" s="18"/>
      <c r="CS94" s="18"/>
      <c r="CT94" s="18"/>
      <c r="CU94" s="18"/>
      <c r="CV94" s="18"/>
      <c r="CW94" s="18"/>
      <c r="CX94" s="18"/>
      <c r="CY94" s="18"/>
      <c r="CZ94" s="18"/>
      <c r="DA94" s="18"/>
      <c r="DB94" s="18"/>
      <c r="DC94" s="18"/>
      <c r="DD94" s="18"/>
      <c r="DE94" s="18"/>
      <c r="DF94" s="18"/>
      <c r="DG94" s="18"/>
      <c r="DH94" s="19"/>
      <c r="DI94" s="11"/>
      <c r="DJ94" s="208"/>
      <c r="DK94" s="209"/>
      <c r="DL94" s="210"/>
      <c r="DM94" s="21"/>
      <c r="DN94" s="21"/>
      <c r="DO94" s="15"/>
      <c r="DP94" s="13"/>
      <c r="DQ94" s="14"/>
      <c r="DR94" s="18"/>
      <c r="DS94" s="15"/>
      <c r="DT94" s="82"/>
      <c r="DU94" s="33"/>
      <c r="DV94" s="34"/>
      <c r="DW94" s="8"/>
    </row>
    <row r="95" spans="1:127">
      <c r="A95" s="37"/>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3"/>
      <c r="AM95" s="14"/>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6"/>
      <c r="BX95" s="17"/>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9"/>
      <c r="DI95" s="11"/>
      <c r="DJ95" s="208"/>
      <c r="DK95" s="209"/>
      <c r="DL95" s="210"/>
      <c r="DM95" s="21"/>
      <c r="DN95" s="21"/>
      <c r="DO95" s="15"/>
      <c r="DP95" s="13"/>
      <c r="DQ95" s="14"/>
      <c r="DR95" s="18"/>
      <c r="DS95" s="15"/>
      <c r="DT95" s="82"/>
      <c r="DU95" s="33"/>
      <c r="DV95" s="34"/>
      <c r="DW95" s="8"/>
    </row>
    <row r="96" spans="1:127">
      <c r="A96" s="37"/>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3"/>
      <c r="AM96" s="14"/>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6"/>
      <c r="BX96" s="17"/>
      <c r="BY96" s="18"/>
      <c r="BZ96" s="18"/>
      <c r="CA96" s="18"/>
      <c r="CB96" s="18"/>
      <c r="CC96" s="18"/>
      <c r="CD96" s="18"/>
      <c r="CE96" s="18"/>
      <c r="CF96" s="18"/>
      <c r="CG96" s="18"/>
      <c r="CH96" s="18"/>
      <c r="CI96" s="18"/>
      <c r="CJ96" s="18"/>
      <c r="CK96" s="18"/>
      <c r="CL96" s="18"/>
      <c r="CM96" s="18"/>
      <c r="CN96" s="18"/>
      <c r="CO96" s="18"/>
      <c r="CP96" s="18"/>
      <c r="CQ96" s="18"/>
      <c r="CR96" s="18"/>
      <c r="CS96" s="18"/>
      <c r="CT96" s="18"/>
      <c r="CU96" s="18"/>
      <c r="CV96" s="18"/>
      <c r="CW96" s="18"/>
      <c r="CX96" s="18"/>
      <c r="CY96" s="18"/>
      <c r="CZ96" s="18"/>
      <c r="DA96" s="18"/>
      <c r="DB96" s="18"/>
      <c r="DC96" s="18"/>
      <c r="DD96" s="18"/>
      <c r="DE96" s="18"/>
      <c r="DF96" s="18"/>
      <c r="DG96" s="18"/>
      <c r="DH96" s="19"/>
      <c r="DI96" s="11"/>
      <c r="DJ96" s="208"/>
      <c r="DK96" s="209"/>
      <c r="DL96" s="210"/>
      <c r="DM96" s="21"/>
      <c r="DN96" s="21"/>
      <c r="DO96" s="15"/>
      <c r="DP96" s="13"/>
      <c r="DQ96" s="14"/>
      <c r="DR96" s="18"/>
      <c r="DS96" s="15"/>
      <c r="DT96" s="82"/>
      <c r="DU96" s="33"/>
      <c r="DV96" s="34"/>
      <c r="DW96" s="8"/>
    </row>
    <row r="97" spans="1:127">
      <c r="A97" s="37"/>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3"/>
      <c r="AM97" s="14"/>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6"/>
      <c r="BX97" s="17"/>
      <c r="BY97" s="18"/>
      <c r="BZ97" s="18"/>
      <c r="CA97" s="18"/>
      <c r="CB97" s="18"/>
      <c r="CC97" s="18"/>
      <c r="CD97" s="18"/>
      <c r="CE97" s="18"/>
      <c r="CF97" s="18"/>
      <c r="CG97" s="18"/>
      <c r="CH97" s="18"/>
      <c r="CI97" s="18"/>
      <c r="CJ97" s="18"/>
      <c r="CK97" s="18"/>
      <c r="CL97" s="18"/>
      <c r="CM97" s="18"/>
      <c r="CN97" s="18"/>
      <c r="CO97" s="18"/>
      <c r="CP97" s="18"/>
      <c r="CQ97" s="18"/>
      <c r="CR97" s="18"/>
      <c r="CS97" s="18"/>
      <c r="CT97" s="18"/>
      <c r="CU97" s="18"/>
      <c r="CV97" s="18"/>
      <c r="CW97" s="18"/>
      <c r="CX97" s="18"/>
      <c r="CY97" s="18"/>
      <c r="CZ97" s="18"/>
      <c r="DA97" s="18"/>
      <c r="DB97" s="18"/>
      <c r="DC97" s="18"/>
      <c r="DD97" s="18"/>
      <c r="DE97" s="18"/>
      <c r="DF97" s="18"/>
      <c r="DG97" s="18"/>
      <c r="DH97" s="19"/>
      <c r="DI97" s="11"/>
      <c r="DJ97" s="208"/>
      <c r="DK97" s="209"/>
      <c r="DL97" s="210"/>
      <c r="DM97" s="21"/>
      <c r="DN97" s="21"/>
      <c r="DO97" s="15"/>
      <c r="DP97" s="13"/>
      <c r="DQ97" s="14"/>
      <c r="DR97" s="18"/>
      <c r="DS97" s="15"/>
      <c r="DT97" s="82"/>
      <c r="DU97" s="33"/>
      <c r="DV97" s="34"/>
      <c r="DW97" s="8"/>
    </row>
    <row r="98" spans="1:127">
      <c r="A98" s="37"/>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3"/>
      <c r="AM98" s="14"/>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6"/>
      <c r="BX98" s="17"/>
      <c r="BY98" s="18"/>
      <c r="BZ98" s="18"/>
      <c r="CA98" s="18"/>
      <c r="CB98" s="18"/>
      <c r="CC98" s="18"/>
      <c r="CD98" s="18"/>
      <c r="CE98" s="18"/>
      <c r="CF98" s="18"/>
      <c r="CG98" s="18"/>
      <c r="CH98" s="18"/>
      <c r="CI98" s="18"/>
      <c r="CJ98" s="18"/>
      <c r="CK98" s="18"/>
      <c r="CL98" s="18"/>
      <c r="CM98" s="18"/>
      <c r="CN98" s="18"/>
      <c r="CO98" s="18"/>
      <c r="CP98" s="18"/>
      <c r="CQ98" s="18"/>
      <c r="CR98" s="18"/>
      <c r="CS98" s="18"/>
      <c r="CT98" s="18"/>
      <c r="CU98" s="18"/>
      <c r="CV98" s="18"/>
      <c r="CW98" s="18"/>
      <c r="CX98" s="18"/>
      <c r="CY98" s="18"/>
      <c r="CZ98" s="18"/>
      <c r="DA98" s="18"/>
      <c r="DB98" s="18"/>
      <c r="DC98" s="18"/>
      <c r="DD98" s="18"/>
      <c r="DE98" s="18"/>
      <c r="DF98" s="18"/>
      <c r="DG98" s="18"/>
      <c r="DH98" s="19"/>
      <c r="DI98" s="11"/>
      <c r="DJ98" s="208"/>
      <c r="DK98" s="209"/>
      <c r="DL98" s="210"/>
      <c r="DM98" s="21"/>
      <c r="DN98" s="21"/>
      <c r="DO98" s="15"/>
      <c r="DP98" s="13"/>
      <c r="DQ98" s="14"/>
      <c r="DR98" s="18"/>
      <c r="DS98" s="15"/>
      <c r="DT98" s="82"/>
      <c r="DU98" s="33"/>
      <c r="DV98" s="34"/>
      <c r="DW98" s="8"/>
    </row>
    <row r="99" spans="1:127">
      <c r="A99" s="37"/>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3"/>
      <c r="AM99" s="14"/>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6"/>
      <c r="BX99" s="17"/>
      <c r="BY99" s="18"/>
      <c r="BZ99" s="18"/>
      <c r="CA99" s="18"/>
      <c r="CB99" s="18"/>
      <c r="CC99" s="18"/>
      <c r="CD99" s="18"/>
      <c r="CE99" s="18"/>
      <c r="CF99" s="18"/>
      <c r="CG99" s="18"/>
      <c r="CH99" s="18"/>
      <c r="CI99" s="18"/>
      <c r="CJ99" s="18"/>
      <c r="CK99" s="18"/>
      <c r="CL99" s="18"/>
      <c r="CM99" s="18"/>
      <c r="CN99" s="18"/>
      <c r="CO99" s="18"/>
      <c r="CP99" s="18"/>
      <c r="CQ99" s="18"/>
      <c r="CR99" s="18"/>
      <c r="CS99" s="18"/>
      <c r="CT99" s="18"/>
      <c r="CU99" s="18"/>
      <c r="CV99" s="18"/>
      <c r="CW99" s="18"/>
      <c r="CX99" s="18"/>
      <c r="CY99" s="18"/>
      <c r="CZ99" s="18"/>
      <c r="DA99" s="18"/>
      <c r="DB99" s="18"/>
      <c r="DC99" s="18"/>
      <c r="DD99" s="18"/>
      <c r="DE99" s="18"/>
      <c r="DF99" s="18"/>
      <c r="DG99" s="18"/>
      <c r="DH99" s="19"/>
      <c r="DI99" s="11"/>
      <c r="DJ99" s="208"/>
      <c r="DK99" s="209"/>
      <c r="DL99" s="210"/>
      <c r="DM99" s="21"/>
      <c r="DN99" s="21"/>
      <c r="DO99" s="15"/>
      <c r="DP99" s="13"/>
      <c r="DQ99" s="14"/>
      <c r="DR99" s="18"/>
      <c r="DS99" s="15"/>
      <c r="DT99" s="82"/>
      <c r="DU99" s="33"/>
      <c r="DV99" s="34"/>
      <c r="DW99" s="8"/>
    </row>
    <row r="100" spans="1:127">
      <c r="A100" s="37"/>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3"/>
      <c r="AM100" s="14"/>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6"/>
      <c r="BX100" s="17"/>
      <c r="BY100" s="18"/>
      <c r="BZ100" s="18"/>
      <c r="CA100" s="18"/>
      <c r="CB100" s="18"/>
      <c r="CC100" s="18"/>
      <c r="CD100" s="18"/>
      <c r="CE100" s="18"/>
      <c r="CF100" s="18"/>
      <c r="CG100" s="18"/>
      <c r="CH100" s="18"/>
      <c r="CI100" s="18"/>
      <c r="CJ100" s="18"/>
      <c r="CK100" s="18"/>
      <c r="CL100" s="18"/>
      <c r="CM100" s="18"/>
      <c r="CN100" s="18"/>
      <c r="CO100" s="18"/>
      <c r="CP100" s="18"/>
      <c r="CQ100" s="18"/>
      <c r="CR100" s="18"/>
      <c r="CS100" s="18"/>
      <c r="CT100" s="18"/>
      <c r="CU100" s="18"/>
      <c r="CV100" s="18"/>
      <c r="CW100" s="18"/>
      <c r="CX100" s="18"/>
      <c r="CY100" s="18"/>
      <c r="CZ100" s="18"/>
      <c r="DA100" s="18"/>
      <c r="DB100" s="18"/>
      <c r="DC100" s="18"/>
      <c r="DD100" s="18"/>
      <c r="DE100" s="18"/>
      <c r="DF100" s="18"/>
      <c r="DG100" s="18"/>
      <c r="DH100" s="19"/>
      <c r="DI100" s="11"/>
      <c r="DJ100" s="208"/>
      <c r="DK100" s="209"/>
      <c r="DL100" s="210"/>
      <c r="DM100" s="21"/>
      <c r="DN100" s="21"/>
      <c r="DO100" s="15"/>
      <c r="DP100" s="13"/>
      <c r="DQ100" s="14"/>
      <c r="DR100" s="18"/>
      <c r="DS100" s="15"/>
      <c r="DT100" s="82"/>
      <c r="DU100" s="33"/>
      <c r="DV100" s="34"/>
      <c r="DW100" s="9"/>
    </row>
    <row r="101" spans="1:127">
      <c r="A101" s="37"/>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4"/>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7"/>
      <c r="BY101" s="18"/>
      <c r="BZ101" s="18"/>
      <c r="CA101" s="18"/>
      <c r="CB101" s="18"/>
      <c r="CC101" s="18"/>
      <c r="CD101" s="18"/>
      <c r="CE101" s="18"/>
      <c r="CF101" s="18"/>
      <c r="CG101" s="18"/>
      <c r="CH101" s="18"/>
      <c r="CI101" s="18"/>
      <c r="CJ101" s="18"/>
      <c r="CK101" s="18"/>
      <c r="CL101" s="18"/>
      <c r="CM101" s="18"/>
      <c r="CN101" s="18"/>
      <c r="CO101" s="18"/>
      <c r="CP101" s="18"/>
      <c r="CQ101" s="18"/>
      <c r="CR101" s="18"/>
      <c r="CS101" s="18"/>
      <c r="CT101" s="18"/>
      <c r="CU101" s="18"/>
      <c r="CV101" s="18"/>
      <c r="CW101" s="18"/>
      <c r="CX101" s="18"/>
      <c r="CY101" s="18"/>
      <c r="CZ101" s="18"/>
      <c r="DA101" s="18"/>
      <c r="DB101" s="18"/>
      <c r="DC101" s="18"/>
      <c r="DD101" s="18"/>
      <c r="DE101" s="18"/>
      <c r="DF101" s="18"/>
      <c r="DG101" s="18"/>
      <c r="DH101" s="19"/>
      <c r="DI101" s="20"/>
      <c r="DJ101" s="208"/>
      <c r="DK101" s="209"/>
      <c r="DL101" s="210"/>
      <c r="DM101" s="21"/>
      <c r="DN101" s="21"/>
      <c r="DO101" s="15"/>
      <c r="DP101" s="13"/>
      <c r="DQ101" s="15"/>
      <c r="DR101" s="18"/>
      <c r="DS101" s="15"/>
      <c r="DT101" s="82"/>
      <c r="DU101" s="33"/>
      <c r="DV101" s="34"/>
      <c r="DW101" s="10"/>
    </row>
    <row r="102" spans="1:127">
      <c r="A102" s="37"/>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4"/>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7"/>
      <c r="BY102" s="18"/>
      <c r="BZ102" s="18"/>
      <c r="CA102" s="18"/>
      <c r="CB102" s="18"/>
      <c r="CC102" s="18"/>
      <c r="CD102" s="18"/>
      <c r="CE102" s="18"/>
      <c r="CF102" s="18"/>
      <c r="CG102" s="18"/>
      <c r="CH102" s="18"/>
      <c r="CI102" s="18"/>
      <c r="CJ102" s="18"/>
      <c r="CK102" s="18"/>
      <c r="CL102" s="18"/>
      <c r="CM102" s="18"/>
      <c r="CN102" s="18"/>
      <c r="CO102" s="18"/>
      <c r="CP102" s="18"/>
      <c r="CQ102" s="18"/>
      <c r="CR102" s="18"/>
      <c r="CS102" s="18"/>
      <c r="CT102" s="18"/>
      <c r="CU102" s="18"/>
      <c r="CV102" s="18"/>
      <c r="CW102" s="18"/>
      <c r="CX102" s="18"/>
      <c r="CY102" s="18"/>
      <c r="CZ102" s="18"/>
      <c r="DA102" s="18"/>
      <c r="DB102" s="18"/>
      <c r="DC102" s="18"/>
      <c r="DD102" s="18"/>
      <c r="DE102" s="18"/>
      <c r="DF102" s="18"/>
      <c r="DG102" s="18"/>
      <c r="DH102" s="19"/>
      <c r="DI102" s="20"/>
      <c r="DJ102" s="208"/>
      <c r="DK102" s="209"/>
      <c r="DL102" s="210"/>
      <c r="DM102" s="21"/>
      <c r="DN102" s="21"/>
      <c r="DO102" s="15"/>
      <c r="DP102" s="13"/>
      <c r="DQ102" s="15"/>
      <c r="DR102" s="18"/>
      <c r="DS102" s="15"/>
      <c r="DT102" s="82"/>
      <c r="DU102" s="33"/>
      <c r="DV102" s="34"/>
      <c r="DW102" s="10"/>
    </row>
    <row r="103" spans="1:127">
      <c r="A103" s="37"/>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4"/>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7"/>
      <c r="BY103" s="18"/>
      <c r="BZ103" s="18"/>
      <c r="CA103" s="18"/>
      <c r="CB103" s="18"/>
      <c r="CC103" s="18"/>
      <c r="CD103" s="18"/>
      <c r="CE103" s="18"/>
      <c r="CF103" s="18"/>
      <c r="CG103" s="18"/>
      <c r="CH103" s="18"/>
      <c r="CI103" s="18"/>
      <c r="CJ103" s="18"/>
      <c r="CK103" s="18"/>
      <c r="CL103" s="18"/>
      <c r="CM103" s="18"/>
      <c r="CN103" s="18"/>
      <c r="CO103" s="18"/>
      <c r="CP103" s="18"/>
      <c r="CQ103" s="18"/>
      <c r="CR103" s="18"/>
      <c r="CS103" s="18"/>
      <c r="CT103" s="18"/>
      <c r="CU103" s="18"/>
      <c r="CV103" s="18"/>
      <c r="CW103" s="18"/>
      <c r="CX103" s="18"/>
      <c r="CY103" s="18"/>
      <c r="CZ103" s="18"/>
      <c r="DA103" s="18"/>
      <c r="DB103" s="18"/>
      <c r="DC103" s="18"/>
      <c r="DD103" s="18"/>
      <c r="DE103" s="18"/>
      <c r="DF103" s="18"/>
      <c r="DG103" s="18"/>
      <c r="DH103" s="19"/>
      <c r="DI103" s="20"/>
      <c r="DJ103" s="208"/>
      <c r="DK103" s="209"/>
      <c r="DL103" s="210"/>
      <c r="DM103" s="21"/>
      <c r="DN103" s="21"/>
      <c r="DO103" s="15"/>
      <c r="DP103" s="13"/>
      <c r="DQ103" s="15"/>
      <c r="DR103" s="18"/>
      <c r="DS103" s="15"/>
      <c r="DT103" s="82"/>
      <c r="DU103" s="33"/>
      <c r="DV103" s="34"/>
      <c r="DW103" s="10"/>
    </row>
    <row r="104" spans="1:127" ht="13.5" thickBot="1">
      <c r="A104" s="38"/>
      <c r="B104" s="22"/>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3"/>
      <c r="AN104" s="24"/>
      <c r="AO104" s="24"/>
      <c r="AP104" s="24"/>
      <c r="AQ104" s="24"/>
      <c r="AR104" s="24"/>
      <c r="AS104" s="24"/>
      <c r="AT104" s="24"/>
      <c r="AU104" s="24"/>
      <c r="AV104" s="24"/>
      <c r="AW104" s="24"/>
      <c r="AX104" s="24"/>
      <c r="AY104" s="24"/>
      <c r="AZ104" s="24"/>
      <c r="BA104" s="24"/>
      <c r="BB104" s="24"/>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5"/>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7"/>
      <c r="DI104" s="28"/>
      <c r="DJ104" s="214"/>
      <c r="DK104" s="215"/>
      <c r="DL104" s="216"/>
      <c r="DM104" s="29"/>
      <c r="DN104" s="29"/>
      <c r="DO104" s="24"/>
      <c r="DP104" s="30"/>
      <c r="DQ104" s="24"/>
      <c r="DR104" s="26"/>
      <c r="DS104" s="24"/>
      <c r="DT104" s="83"/>
      <c r="DU104" s="35"/>
      <c r="DV104" s="36"/>
      <c r="DW104" s="10"/>
    </row>
    <row r="105" spans="1:127">
      <c r="A105" s="6"/>
    </row>
    <row r="106" spans="1:127">
      <c r="A106" s="6"/>
    </row>
    <row r="107" spans="1:127">
      <c r="A107" s="6"/>
    </row>
    <row r="108" spans="1:127">
      <c r="A108" s="6"/>
    </row>
    <row r="109" spans="1:127">
      <c r="A109" s="6"/>
    </row>
    <row r="110" spans="1:127">
      <c r="A110" s="6"/>
    </row>
    <row r="111" spans="1:127">
      <c r="A111" s="6"/>
    </row>
    <row r="112" spans="1:127">
      <c r="A112" s="6"/>
    </row>
    <row r="113" spans="1:1">
      <c r="A113" s="6"/>
    </row>
    <row r="114" spans="1:1">
      <c r="A114" s="6"/>
    </row>
    <row r="115" spans="1:1">
      <c r="A115" s="6"/>
    </row>
    <row r="116" spans="1:1">
      <c r="A116" s="6"/>
    </row>
    <row r="117" spans="1:1">
      <c r="A117" s="6"/>
    </row>
    <row r="118" spans="1:1">
      <c r="A118" s="6"/>
    </row>
    <row r="119" spans="1:1">
      <c r="A119" s="6"/>
    </row>
    <row r="120" spans="1:1">
      <c r="A120" s="6"/>
    </row>
    <row r="121" spans="1:1">
      <c r="A121" s="6"/>
    </row>
    <row r="122" spans="1:1">
      <c r="A122" s="6"/>
    </row>
    <row r="123" spans="1:1">
      <c r="A123" s="6"/>
    </row>
    <row r="124" spans="1:1">
      <c r="A124" s="6"/>
    </row>
    <row r="125" spans="1:1">
      <c r="A125" s="6"/>
    </row>
    <row r="126" spans="1:1">
      <c r="A126" s="6"/>
    </row>
    <row r="127" spans="1:1">
      <c r="A127" s="6"/>
    </row>
    <row r="128" spans="1:1">
      <c r="A128" s="6"/>
    </row>
    <row r="129" spans="1:1">
      <c r="A129" s="6"/>
    </row>
    <row r="130" spans="1:1">
      <c r="A130" s="6"/>
    </row>
    <row r="131" spans="1:1">
      <c r="A131" s="6"/>
    </row>
    <row r="132" spans="1:1">
      <c r="A132" s="6"/>
    </row>
    <row r="133" spans="1:1">
      <c r="A133" s="6"/>
    </row>
    <row r="134" spans="1:1">
      <c r="A134" s="6"/>
    </row>
    <row r="135" spans="1:1">
      <c r="A135" s="6"/>
    </row>
    <row r="136" spans="1:1">
      <c r="A136" s="6"/>
    </row>
    <row r="137" spans="1:1">
      <c r="A137" s="6"/>
    </row>
    <row r="138" spans="1:1">
      <c r="A138" s="6"/>
    </row>
    <row r="139" spans="1:1">
      <c r="A139" s="6"/>
    </row>
    <row r="140" spans="1:1">
      <c r="A140" s="6"/>
    </row>
    <row r="141" spans="1:1">
      <c r="A141" s="6"/>
    </row>
    <row r="142" spans="1:1">
      <c r="A142" s="6"/>
    </row>
    <row r="143" spans="1:1">
      <c r="A143" s="6"/>
    </row>
    <row r="144" spans="1:1">
      <c r="A144" s="6"/>
    </row>
    <row r="145" spans="1:1">
      <c r="A145" s="6"/>
    </row>
    <row r="146" spans="1:1">
      <c r="A146" s="6"/>
    </row>
    <row r="147" spans="1:1">
      <c r="A147" s="6"/>
    </row>
    <row r="148" spans="1:1">
      <c r="A148" s="6"/>
    </row>
    <row r="149" spans="1:1">
      <c r="A149" s="6"/>
    </row>
    <row r="150" spans="1:1">
      <c r="A150" s="6"/>
    </row>
    <row r="151" spans="1:1">
      <c r="A151" s="6"/>
    </row>
    <row r="152" spans="1:1">
      <c r="A152" s="6"/>
    </row>
    <row r="153" spans="1:1">
      <c r="A153" s="6"/>
    </row>
    <row r="154" spans="1:1">
      <c r="A154" s="6"/>
    </row>
    <row r="155" spans="1:1">
      <c r="A155" s="6"/>
    </row>
    <row r="156" spans="1:1">
      <c r="A156" s="6"/>
    </row>
    <row r="157" spans="1:1">
      <c r="A157" s="6"/>
    </row>
    <row r="158" spans="1:1">
      <c r="A158" s="6"/>
    </row>
    <row r="159" spans="1:1">
      <c r="A159" s="6"/>
    </row>
    <row r="160" spans="1:1">
      <c r="A160" s="6"/>
    </row>
    <row r="161" spans="1:1">
      <c r="A161" s="6"/>
    </row>
    <row r="162" spans="1:1">
      <c r="A162" s="6"/>
    </row>
    <row r="163" spans="1:1">
      <c r="A163" s="6"/>
    </row>
    <row r="164" spans="1:1">
      <c r="A164" s="6"/>
    </row>
    <row r="165" spans="1:1">
      <c r="A165" s="6"/>
    </row>
    <row r="166" spans="1:1">
      <c r="A166" s="6"/>
    </row>
    <row r="167" spans="1:1">
      <c r="A167" s="6"/>
    </row>
    <row r="168" spans="1:1">
      <c r="A168" s="6"/>
    </row>
    <row r="169" spans="1:1">
      <c r="A169" s="6"/>
    </row>
    <row r="170" spans="1:1">
      <c r="A170" s="6"/>
    </row>
    <row r="171" spans="1:1">
      <c r="A171" s="6"/>
    </row>
    <row r="172" spans="1:1">
      <c r="A172" s="6"/>
    </row>
    <row r="173" spans="1:1">
      <c r="A173" s="6"/>
    </row>
    <row r="174" spans="1:1">
      <c r="A174" s="6"/>
    </row>
    <row r="175" spans="1:1">
      <c r="A175" s="6"/>
    </row>
    <row r="176" spans="1:1">
      <c r="A176" s="6"/>
    </row>
    <row r="177" spans="1:1">
      <c r="A177" s="6"/>
    </row>
    <row r="178" spans="1:1">
      <c r="A178" s="6"/>
    </row>
    <row r="179" spans="1:1">
      <c r="A179" s="6"/>
    </row>
    <row r="180" spans="1:1">
      <c r="A180" s="6"/>
    </row>
    <row r="181" spans="1:1">
      <c r="A181" s="6"/>
    </row>
    <row r="182" spans="1:1">
      <c r="A182" s="6"/>
    </row>
    <row r="183" spans="1:1">
      <c r="A183" s="6"/>
    </row>
    <row r="184" spans="1:1">
      <c r="A184" s="6"/>
    </row>
    <row r="185" spans="1:1">
      <c r="A185" s="6"/>
    </row>
    <row r="186" spans="1:1">
      <c r="A186" s="6"/>
    </row>
    <row r="187" spans="1:1">
      <c r="A187" s="6"/>
    </row>
    <row r="188" spans="1:1">
      <c r="A188" s="6"/>
    </row>
    <row r="189" spans="1:1">
      <c r="A189" s="6"/>
    </row>
    <row r="190" spans="1:1">
      <c r="A190" s="6"/>
    </row>
    <row r="191" spans="1:1">
      <c r="A191" s="6"/>
    </row>
    <row r="192" spans="1:1">
      <c r="A192" s="6"/>
    </row>
    <row r="193" spans="1:1">
      <c r="A193" s="6"/>
    </row>
    <row r="194" spans="1:1">
      <c r="A194" s="6"/>
    </row>
    <row r="195" spans="1:1">
      <c r="A195" s="6"/>
    </row>
    <row r="196" spans="1:1">
      <c r="A196" s="6"/>
    </row>
    <row r="197" spans="1:1">
      <c r="A197" s="6"/>
    </row>
    <row r="198" spans="1:1">
      <c r="A198" s="6"/>
    </row>
    <row r="199" spans="1:1">
      <c r="A199" s="6"/>
    </row>
    <row r="200" spans="1:1">
      <c r="A200" s="6"/>
    </row>
    <row r="201" spans="1:1">
      <c r="A201" s="6"/>
    </row>
    <row r="202" spans="1:1">
      <c r="A202" s="6"/>
    </row>
    <row r="203" spans="1:1">
      <c r="A203" s="6"/>
    </row>
    <row r="204" spans="1:1">
      <c r="A204" s="6"/>
    </row>
    <row r="205" spans="1:1">
      <c r="A205" s="6"/>
    </row>
    <row r="206" spans="1:1">
      <c r="A206" s="6"/>
    </row>
    <row r="207" spans="1:1">
      <c r="A207" s="6"/>
    </row>
    <row r="208" spans="1:1">
      <c r="A208" s="6"/>
    </row>
    <row r="209" spans="1:1">
      <c r="A209" s="6"/>
    </row>
    <row r="210" spans="1:1">
      <c r="A210" s="6"/>
    </row>
    <row r="211" spans="1:1">
      <c r="A211" s="6"/>
    </row>
    <row r="212" spans="1:1">
      <c r="A212" s="6"/>
    </row>
    <row r="213" spans="1:1">
      <c r="A213" s="6"/>
    </row>
    <row r="214" spans="1:1">
      <c r="A214" s="6"/>
    </row>
    <row r="215" spans="1:1">
      <c r="A215" s="6"/>
    </row>
    <row r="216" spans="1:1">
      <c r="A216" s="6"/>
    </row>
    <row r="217" spans="1:1">
      <c r="A217" s="6"/>
    </row>
    <row r="218" spans="1:1">
      <c r="A218" s="6"/>
    </row>
    <row r="219" spans="1:1">
      <c r="A219" s="6"/>
    </row>
    <row r="220" spans="1:1">
      <c r="A220" s="6"/>
    </row>
    <row r="221" spans="1:1">
      <c r="A221" s="6"/>
    </row>
    <row r="222" spans="1:1">
      <c r="A222" s="6"/>
    </row>
    <row r="223" spans="1:1">
      <c r="A223" s="6"/>
    </row>
    <row r="224" spans="1:1">
      <c r="A224" s="6"/>
    </row>
    <row r="225" spans="1:1">
      <c r="A225" s="6"/>
    </row>
    <row r="226" spans="1:1">
      <c r="A226" s="6"/>
    </row>
    <row r="227" spans="1:1">
      <c r="A227" s="6"/>
    </row>
    <row r="228" spans="1:1">
      <c r="A228" s="6"/>
    </row>
    <row r="229" spans="1:1">
      <c r="A229" s="6"/>
    </row>
    <row r="230" spans="1:1">
      <c r="A230" s="6"/>
    </row>
    <row r="231" spans="1:1">
      <c r="A231" s="6"/>
    </row>
    <row r="232" spans="1:1">
      <c r="A232" s="6"/>
    </row>
    <row r="233" spans="1:1">
      <c r="A233" s="6"/>
    </row>
    <row r="234" spans="1:1">
      <c r="A234" s="6"/>
    </row>
    <row r="235" spans="1:1">
      <c r="A235" s="6"/>
    </row>
    <row r="236" spans="1:1">
      <c r="A236" s="6"/>
    </row>
    <row r="237" spans="1:1">
      <c r="A237" s="6"/>
    </row>
    <row r="238" spans="1:1">
      <c r="A238" s="6"/>
    </row>
    <row r="239" spans="1:1">
      <c r="A239" s="6"/>
    </row>
    <row r="240" spans="1:1">
      <c r="A240" s="6"/>
    </row>
    <row r="241" spans="1:1">
      <c r="A241" s="6"/>
    </row>
    <row r="242" spans="1:1">
      <c r="A242" s="6"/>
    </row>
    <row r="243" spans="1:1">
      <c r="A243" s="6"/>
    </row>
    <row r="244" spans="1:1">
      <c r="A244" s="6"/>
    </row>
    <row r="245" spans="1:1">
      <c r="A245" s="6"/>
    </row>
    <row r="246" spans="1:1">
      <c r="A246" s="6"/>
    </row>
    <row r="247" spans="1:1">
      <c r="A247" s="6"/>
    </row>
    <row r="248" spans="1:1">
      <c r="A248" s="6"/>
    </row>
    <row r="249" spans="1:1">
      <c r="A249" s="6"/>
    </row>
    <row r="250" spans="1:1">
      <c r="A250" s="6"/>
    </row>
    <row r="251" spans="1:1">
      <c r="A251" s="6"/>
    </row>
    <row r="252" spans="1:1">
      <c r="A252" s="6"/>
    </row>
    <row r="253" spans="1:1">
      <c r="A253" s="6"/>
    </row>
    <row r="254" spans="1:1">
      <c r="A254" s="6"/>
    </row>
    <row r="255" spans="1:1" ht="15" customHeight="1">
      <c r="A255" s="6"/>
    </row>
    <row r="256" spans="1:1" ht="13.5" customHeight="1">
      <c r="A256" s="6"/>
    </row>
    <row r="257" spans="1:1">
      <c r="A257" s="6"/>
    </row>
    <row r="258" spans="1:1">
      <c r="A258" s="6"/>
    </row>
    <row r="259" spans="1:1">
      <c r="A259" s="6"/>
    </row>
    <row r="260" spans="1:1">
      <c r="A260" s="6"/>
    </row>
    <row r="261" spans="1:1">
      <c r="A261" s="6"/>
    </row>
    <row r="262" spans="1:1">
      <c r="A262" s="6"/>
    </row>
    <row r="263" spans="1:1">
      <c r="A263" s="6"/>
    </row>
    <row r="264" spans="1:1">
      <c r="A264" s="6"/>
    </row>
    <row r="265" spans="1:1">
      <c r="A265" s="6"/>
    </row>
    <row r="266" spans="1:1">
      <c r="A266" s="6"/>
    </row>
    <row r="267" spans="1:1">
      <c r="A267" s="6"/>
    </row>
    <row r="268" spans="1:1">
      <c r="A268" s="6"/>
    </row>
    <row r="269" spans="1:1">
      <c r="A269" s="6"/>
    </row>
    <row r="270" spans="1:1">
      <c r="A270" s="6"/>
    </row>
    <row r="271" spans="1:1">
      <c r="A271" s="6"/>
    </row>
    <row r="272" spans="1:1">
      <c r="A272" s="6"/>
    </row>
    <row r="273" spans="1:1">
      <c r="A273" s="6"/>
    </row>
    <row r="274" spans="1:1">
      <c r="A274" s="6"/>
    </row>
    <row r="275" spans="1:1">
      <c r="A275" s="6"/>
    </row>
    <row r="276" spans="1:1">
      <c r="A276" s="6"/>
    </row>
    <row r="277" spans="1:1">
      <c r="A277" s="6"/>
    </row>
    <row r="278" spans="1:1">
      <c r="A278" s="6"/>
    </row>
    <row r="279" spans="1:1">
      <c r="A279" s="6"/>
    </row>
    <row r="280" spans="1:1">
      <c r="A280" s="6"/>
    </row>
    <row r="281" spans="1:1">
      <c r="A281" s="6"/>
    </row>
    <row r="282" spans="1:1">
      <c r="A282" s="6"/>
    </row>
    <row r="283" spans="1:1">
      <c r="A283" s="6"/>
    </row>
    <row r="284" spans="1:1">
      <c r="A284" s="6"/>
    </row>
    <row r="285" spans="1:1">
      <c r="A285" s="6"/>
    </row>
    <row r="286" spans="1:1">
      <c r="A286" s="6"/>
    </row>
    <row r="287" spans="1:1">
      <c r="A287" s="6"/>
    </row>
    <row r="288" spans="1:1">
      <c r="A288" s="6"/>
    </row>
    <row r="289" spans="1:1">
      <c r="A289" s="6"/>
    </row>
    <row r="290" spans="1:1">
      <c r="A290" s="6"/>
    </row>
    <row r="291" spans="1:1">
      <c r="A291" s="6"/>
    </row>
    <row r="292" spans="1:1">
      <c r="A292" s="6"/>
    </row>
    <row r="293" spans="1:1">
      <c r="A293" s="6"/>
    </row>
    <row r="294" spans="1:1">
      <c r="A294" s="6"/>
    </row>
    <row r="295" spans="1:1">
      <c r="A295" s="6"/>
    </row>
    <row r="296" spans="1:1">
      <c r="A296" s="6"/>
    </row>
    <row r="297" spans="1:1">
      <c r="A297" s="6"/>
    </row>
    <row r="298" spans="1:1">
      <c r="A298" s="6"/>
    </row>
    <row r="299" spans="1:1">
      <c r="A299" s="6"/>
    </row>
    <row r="300" spans="1:1">
      <c r="A300" s="6"/>
    </row>
    <row r="301" spans="1:1">
      <c r="A301" s="6"/>
    </row>
    <row r="302" spans="1:1">
      <c r="A302" s="6"/>
    </row>
    <row r="303" spans="1:1">
      <c r="A303" s="6"/>
    </row>
    <row r="304" spans="1:1">
      <c r="A304" s="6"/>
    </row>
    <row r="305" spans="1:1">
      <c r="A305" s="6"/>
    </row>
    <row r="306" spans="1:1">
      <c r="A306" s="6"/>
    </row>
    <row r="307" spans="1:1">
      <c r="A307" s="6"/>
    </row>
    <row r="308" spans="1:1">
      <c r="A308" s="6"/>
    </row>
    <row r="309" spans="1:1">
      <c r="A309" s="6"/>
    </row>
    <row r="310" spans="1:1">
      <c r="A310" s="6"/>
    </row>
    <row r="311" spans="1:1">
      <c r="A311" s="6"/>
    </row>
    <row r="312" spans="1:1">
      <c r="A312" s="6"/>
    </row>
    <row r="313" spans="1:1">
      <c r="A313" s="6"/>
    </row>
    <row r="314" spans="1:1">
      <c r="A314" s="6"/>
    </row>
    <row r="315" spans="1:1">
      <c r="A315" s="6"/>
    </row>
    <row r="316" spans="1:1">
      <c r="A316" s="6"/>
    </row>
    <row r="317" spans="1:1">
      <c r="A317" s="6"/>
    </row>
    <row r="318" spans="1:1">
      <c r="A318" s="6"/>
    </row>
    <row r="319" spans="1:1">
      <c r="A319" s="6"/>
    </row>
    <row r="320" spans="1:1">
      <c r="A320" s="6"/>
    </row>
    <row r="321" spans="1:1">
      <c r="A321" s="6"/>
    </row>
    <row r="322" spans="1:1">
      <c r="A322" s="6"/>
    </row>
    <row r="323" spans="1:1">
      <c r="A323" s="6"/>
    </row>
    <row r="324" spans="1:1">
      <c r="A324" s="6"/>
    </row>
    <row r="325" spans="1:1">
      <c r="A325" s="6"/>
    </row>
    <row r="326" spans="1:1">
      <c r="A326" s="6"/>
    </row>
    <row r="327" spans="1:1">
      <c r="A327" s="6"/>
    </row>
    <row r="328" spans="1:1">
      <c r="A328" s="6"/>
    </row>
    <row r="329" spans="1:1">
      <c r="A329" s="6"/>
    </row>
    <row r="330" spans="1:1">
      <c r="A330" s="6"/>
    </row>
    <row r="331" spans="1:1">
      <c r="A331" s="6"/>
    </row>
    <row r="332" spans="1:1">
      <c r="A332" s="6"/>
    </row>
    <row r="333" spans="1:1">
      <c r="A333" s="6"/>
    </row>
    <row r="334" spans="1:1">
      <c r="A334" s="6"/>
    </row>
    <row r="335" spans="1:1">
      <c r="A335" s="6"/>
    </row>
    <row r="336" spans="1:1">
      <c r="A336" s="6"/>
    </row>
    <row r="337" spans="1:1">
      <c r="A337" s="6"/>
    </row>
    <row r="338" spans="1:1">
      <c r="A338" s="6"/>
    </row>
    <row r="339" spans="1:1">
      <c r="A339" s="6"/>
    </row>
    <row r="340" spans="1:1">
      <c r="A340" s="6"/>
    </row>
    <row r="341" spans="1:1">
      <c r="A341" s="6"/>
    </row>
    <row r="342" spans="1:1">
      <c r="A342" s="6"/>
    </row>
    <row r="343" spans="1:1">
      <c r="A343" s="6"/>
    </row>
    <row r="344" spans="1:1">
      <c r="A344" s="6"/>
    </row>
    <row r="345" spans="1:1">
      <c r="A345" s="6"/>
    </row>
    <row r="346" spans="1:1">
      <c r="A346" s="6"/>
    </row>
    <row r="347" spans="1:1">
      <c r="A347" s="6"/>
    </row>
    <row r="348" spans="1:1">
      <c r="A348" s="6"/>
    </row>
    <row r="349" spans="1:1">
      <c r="A349" s="6"/>
    </row>
    <row r="350" spans="1:1">
      <c r="A350" s="6"/>
    </row>
    <row r="351" spans="1:1">
      <c r="A351" s="6"/>
    </row>
    <row r="352" spans="1:1">
      <c r="A352" s="6"/>
    </row>
    <row r="353" spans="1:1">
      <c r="A353" s="6"/>
    </row>
    <row r="354" spans="1:1">
      <c r="A354" s="6"/>
    </row>
    <row r="355" spans="1:1">
      <c r="A355" s="6"/>
    </row>
    <row r="356" spans="1:1">
      <c r="A356" s="6"/>
    </row>
    <row r="357" spans="1:1">
      <c r="A357" s="6"/>
    </row>
    <row r="358" spans="1:1">
      <c r="A358" s="6"/>
    </row>
    <row r="359" spans="1:1">
      <c r="A359" s="6"/>
    </row>
    <row r="360" spans="1:1">
      <c r="A360" s="6"/>
    </row>
    <row r="361" spans="1:1">
      <c r="A361" s="6"/>
    </row>
    <row r="362" spans="1:1">
      <c r="A362" s="6"/>
    </row>
    <row r="363" spans="1:1">
      <c r="A363" s="6"/>
    </row>
    <row r="364" spans="1:1">
      <c r="A364" s="6"/>
    </row>
    <row r="365" spans="1:1">
      <c r="A365" s="6"/>
    </row>
    <row r="366" spans="1:1">
      <c r="A366" s="6"/>
    </row>
    <row r="367" spans="1:1">
      <c r="A367" s="6"/>
    </row>
    <row r="368" spans="1:1">
      <c r="A368" s="6"/>
    </row>
    <row r="369" spans="1:1">
      <c r="A369" s="6"/>
    </row>
    <row r="370" spans="1:1">
      <c r="A370" s="2"/>
    </row>
    <row r="371" spans="1:1">
      <c r="A371" s="2"/>
    </row>
    <row r="372" spans="1:1">
      <c r="A372" s="2"/>
    </row>
    <row r="373" spans="1:1">
      <c r="A373" s="2"/>
    </row>
    <row r="374" spans="1:1">
      <c r="A374" s="2"/>
    </row>
    <row r="375" spans="1:1">
      <c r="A375" s="2"/>
    </row>
    <row r="376" spans="1:1">
      <c r="A376" s="2"/>
    </row>
    <row r="377" spans="1:1">
      <c r="A377" s="2"/>
    </row>
    <row r="378" spans="1:1">
      <c r="A378" s="2"/>
    </row>
    <row r="379" spans="1:1">
      <c r="A379" s="2"/>
    </row>
    <row r="380" spans="1:1">
      <c r="A380" s="2"/>
    </row>
    <row r="381" spans="1:1">
      <c r="A381" s="2"/>
    </row>
    <row r="382" spans="1:1">
      <c r="A382" s="2"/>
    </row>
    <row r="383" spans="1:1">
      <c r="A383" s="2"/>
    </row>
    <row r="384" spans="1:1">
      <c r="A384" s="2"/>
    </row>
    <row r="385" spans="1:1">
      <c r="A385" s="2"/>
    </row>
    <row r="386" spans="1:1">
      <c r="A386" s="2"/>
    </row>
    <row r="387" spans="1:1">
      <c r="A387" s="2"/>
    </row>
    <row r="388" spans="1:1">
      <c r="A388" s="2"/>
    </row>
    <row r="389" spans="1:1">
      <c r="A389" s="2"/>
    </row>
    <row r="390" spans="1:1">
      <c r="A390" s="2"/>
    </row>
    <row r="391" spans="1:1">
      <c r="A391" s="2"/>
    </row>
    <row r="392" spans="1:1">
      <c r="A392" s="2"/>
    </row>
    <row r="393" spans="1:1">
      <c r="A393" s="2"/>
    </row>
  </sheetData>
  <mergeCells count="4">
    <mergeCell ref="A3:A4"/>
    <mergeCell ref="B3:AL3"/>
    <mergeCell ref="AM3:BW3"/>
    <mergeCell ref="BX3:DH3"/>
  </mergeCells>
  <phoneticPr fontId="4" type="noConversion"/>
  <pageMargins left="0.75" right="0.75" top="1" bottom="1" header="0.5" footer="0.5"/>
  <pageSetup paperSize="9" orientation="portrait" horizontalDpi="4294967295" verticalDpi="300" r:id="rId1"/>
  <headerFooter alignWithMargins="0"/>
</worksheet>
</file>

<file path=xl/worksheets/sheet4.xml><?xml version="1.0" encoding="utf-8"?>
<worksheet xmlns="http://schemas.openxmlformats.org/spreadsheetml/2006/main" xmlns:r="http://schemas.openxmlformats.org/officeDocument/2006/relationships">
  <sheetPr codeName="Sheet6"/>
  <dimension ref="A1:K40"/>
  <sheetViews>
    <sheetView workbookViewId="0">
      <selection activeCell="M12" sqref="M12"/>
    </sheetView>
  </sheetViews>
  <sheetFormatPr defaultRowHeight="15.75"/>
  <cols>
    <col min="1" max="1" width="3.75" customWidth="1"/>
    <col min="4" max="4" width="6.125" customWidth="1"/>
    <col min="11" max="11" width="3.875" customWidth="1"/>
  </cols>
  <sheetData>
    <row r="1" spans="1:11" ht="16.5" thickTop="1">
      <c r="A1" s="46"/>
      <c r="B1" s="47"/>
      <c r="C1" s="47"/>
      <c r="D1" s="47"/>
      <c r="E1" s="47"/>
      <c r="F1" s="47"/>
      <c r="G1" s="47"/>
      <c r="H1" s="47"/>
      <c r="I1" s="47"/>
      <c r="J1" s="47"/>
      <c r="K1" s="48"/>
    </row>
    <row r="2" spans="1:11" ht="18">
      <c r="A2" s="49"/>
      <c r="B2" s="50"/>
      <c r="C2" s="298" t="s">
        <v>121</v>
      </c>
      <c r="D2" s="298"/>
      <c r="E2" s="298"/>
      <c r="F2" s="298"/>
      <c r="G2" s="298"/>
      <c r="H2" s="298"/>
      <c r="I2" s="50"/>
      <c r="J2" s="50"/>
      <c r="K2" s="51"/>
    </row>
    <row r="3" spans="1:11">
      <c r="A3" s="49"/>
      <c r="B3" s="50"/>
      <c r="C3" s="50"/>
      <c r="D3" s="50"/>
      <c r="E3" s="50"/>
      <c r="F3" s="50"/>
      <c r="G3" s="50"/>
      <c r="H3" s="50"/>
      <c r="I3" s="50"/>
      <c r="J3" s="50"/>
      <c r="K3" s="51"/>
    </row>
    <row r="4" spans="1:11">
      <c r="A4" s="49"/>
      <c r="B4" s="60" t="s">
        <v>11</v>
      </c>
      <c r="C4" s="53"/>
      <c r="D4" s="50"/>
      <c r="E4" s="52" t="s">
        <v>96</v>
      </c>
      <c r="F4" s="50"/>
      <c r="G4" s="60" t="s">
        <v>11</v>
      </c>
      <c r="H4" s="53"/>
      <c r="I4" s="50"/>
      <c r="J4" s="52" t="s">
        <v>96</v>
      </c>
      <c r="K4" s="51"/>
    </row>
    <row r="5" spans="1:11">
      <c r="A5" s="49"/>
      <c r="B5" s="53"/>
      <c r="C5" s="53"/>
      <c r="D5" s="50"/>
      <c r="E5" s="50"/>
      <c r="F5" s="50"/>
      <c r="G5" s="53"/>
      <c r="H5" s="53"/>
      <c r="I5" s="50"/>
      <c r="J5" s="50"/>
      <c r="K5" s="51"/>
    </row>
    <row r="6" spans="1:11">
      <c r="A6" s="49"/>
      <c r="B6" s="58" t="s">
        <v>61</v>
      </c>
      <c r="C6" s="53"/>
      <c r="D6" s="50"/>
      <c r="E6" s="54">
        <v>220000</v>
      </c>
      <c r="F6" s="50"/>
      <c r="G6" s="58" t="s">
        <v>97</v>
      </c>
      <c r="H6" s="53"/>
      <c r="I6" s="50"/>
      <c r="J6" s="54">
        <v>110000</v>
      </c>
      <c r="K6" s="51"/>
    </row>
    <row r="7" spans="1:11">
      <c r="A7" s="49"/>
      <c r="B7" s="58" t="s">
        <v>75</v>
      </c>
      <c r="C7" s="53"/>
      <c r="D7" s="50"/>
      <c r="E7" s="54">
        <v>165000</v>
      </c>
      <c r="F7" s="50"/>
      <c r="G7" s="58" t="s">
        <v>98</v>
      </c>
      <c r="H7" s="53"/>
      <c r="I7" s="50"/>
      <c r="J7" s="54">
        <v>85000</v>
      </c>
      <c r="K7" s="51"/>
    </row>
    <row r="8" spans="1:11">
      <c r="A8" s="49"/>
      <c r="B8" s="58" t="s">
        <v>65</v>
      </c>
      <c r="C8" s="53"/>
      <c r="D8" s="50"/>
      <c r="E8" s="54">
        <v>105000</v>
      </c>
      <c r="F8" s="50"/>
      <c r="G8" s="58" t="s">
        <v>99</v>
      </c>
      <c r="H8" s="53"/>
      <c r="I8" s="50"/>
      <c r="J8" s="54">
        <v>105000</v>
      </c>
      <c r="K8" s="51"/>
    </row>
    <row r="9" spans="1:11">
      <c r="A9" s="49"/>
      <c r="B9" s="58" t="s">
        <v>76</v>
      </c>
      <c r="C9" s="53"/>
      <c r="D9" s="50"/>
      <c r="E9" s="54">
        <v>260000</v>
      </c>
      <c r="F9" s="50"/>
      <c r="G9" s="58"/>
      <c r="H9" s="53"/>
      <c r="I9" s="50"/>
      <c r="J9" s="54"/>
      <c r="K9" s="51"/>
    </row>
    <row r="10" spans="1:11">
      <c r="A10" s="49"/>
      <c r="B10" s="58" t="s">
        <v>77</v>
      </c>
      <c r="C10" s="53"/>
      <c r="D10" s="50"/>
      <c r="E10" s="54">
        <v>1090000</v>
      </c>
      <c r="F10" s="50"/>
      <c r="G10" s="58" t="s">
        <v>100</v>
      </c>
      <c r="H10" s="53"/>
      <c r="I10" s="50"/>
      <c r="J10" s="54">
        <v>1460000</v>
      </c>
      <c r="K10" s="51"/>
    </row>
    <row r="11" spans="1:11">
      <c r="A11" s="49"/>
      <c r="B11" s="58"/>
      <c r="C11" s="53"/>
      <c r="D11" s="50"/>
      <c r="E11" s="54"/>
      <c r="F11" s="50"/>
      <c r="G11" s="58"/>
      <c r="H11" s="53"/>
      <c r="I11" s="50"/>
      <c r="J11" s="54"/>
      <c r="K11" s="51"/>
    </row>
    <row r="12" spans="1:11">
      <c r="A12" s="49"/>
      <c r="B12" s="58" t="s">
        <v>78</v>
      </c>
      <c r="C12" s="53"/>
      <c r="D12" s="50"/>
      <c r="E12" s="54">
        <v>225000</v>
      </c>
      <c r="F12" s="50"/>
      <c r="G12" s="58" t="s">
        <v>102</v>
      </c>
      <c r="H12" s="53"/>
      <c r="I12" s="50"/>
      <c r="J12" s="54">
        <v>310000</v>
      </c>
      <c r="K12" s="51"/>
    </row>
    <row r="13" spans="1:11">
      <c r="A13" s="49"/>
      <c r="B13" s="58" t="s">
        <v>79</v>
      </c>
      <c r="C13" s="53"/>
      <c r="D13" s="50"/>
      <c r="E13" s="54">
        <v>192000</v>
      </c>
      <c r="F13" s="50"/>
      <c r="G13" s="58" t="s">
        <v>101</v>
      </c>
      <c r="H13" s="53"/>
      <c r="I13" s="50"/>
      <c r="J13" s="54">
        <v>345000</v>
      </c>
      <c r="K13" s="51"/>
    </row>
    <row r="14" spans="1:11">
      <c r="A14" s="49"/>
      <c r="B14" s="58" t="s">
        <v>80</v>
      </c>
      <c r="C14" s="53"/>
      <c r="D14" s="50"/>
      <c r="E14" s="54">
        <v>190000</v>
      </c>
      <c r="F14" s="50"/>
      <c r="G14" s="58" t="s">
        <v>103</v>
      </c>
      <c r="H14" s="53"/>
      <c r="I14" s="50"/>
      <c r="J14" s="54">
        <v>445000</v>
      </c>
      <c r="K14" s="51"/>
    </row>
    <row r="15" spans="1:11">
      <c r="A15" s="49"/>
      <c r="B15" s="58"/>
      <c r="C15" s="53"/>
      <c r="D15" s="50"/>
      <c r="E15" s="54"/>
      <c r="F15" s="50"/>
      <c r="G15" s="58"/>
      <c r="H15" s="53"/>
      <c r="I15" s="50"/>
      <c r="J15" s="54"/>
      <c r="K15" s="51"/>
    </row>
    <row r="16" spans="1:11">
      <c r="A16" s="49"/>
      <c r="B16" s="58" t="s">
        <v>81</v>
      </c>
      <c r="C16" s="53"/>
      <c r="D16" s="50"/>
      <c r="E16" s="54">
        <v>1550000</v>
      </c>
      <c r="F16" s="50"/>
      <c r="G16" s="58" t="s">
        <v>104</v>
      </c>
      <c r="H16" s="53"/>
      <c r="I16" s="50"/>
      <c r="J16" s="54">
        <v>210000</v>
      </c>
      <c r="K16" s="51"/>
    </row>
    <row r="17" spans="1:11">
      <c r="A17" s="49"/>
      <c r="B17" s="58" t="s">
        <v>82</v>
      </c>
      <c r="C17" s="53"/>
      <c r="D17" s="50"/>
      <c r="E17" s="54">
        <v>1323000</v>
      </c>
      <c r="F17" s="50"/>
      <c r="G17" s="58" t="s">
        <v>105</v>
      </c>
      <c r="H17" s="53"/>
      <c r="I17" s="50"/>
      <c r="J17" s="54">
        <v>160000</v>
      </c>
      <c r="K17" s="51"/>
    </row>
    <row r="18" spans="1:11">
      <c r="A18" s="49"/>
      <c r="B18" s="58" t="s">
        <v>83</v>
      </c>
      <c r="C18" s="53"/>
      <c r="D18" s="50"/>
      <c r="E18" s="54">
        <v>1250000</v>
      </c>
      <c r="F18" s="50"/>
      <c r="G18" s="58"/>
      <c r="H18" s="53"/>
      <c r="I18" s="50"/>
      <c r="J18" s="54"/>
      <c r="K18" s="51"/>
    </row>
    <row r="19" spans="1:11">
      <c r="A19" s="49"/>
      <c r="B19" s="58" t="s">
        <v>84</v>
      </c>
      <c r="C19" s="53"/>
      <c r="D19" s="50"/>
      <c r="E19" s="54">
        <v>475000</v>
      </c>
      <c r="F19" s="50"/>
      <c r="G19" s="58" t="s">
        <v>106</v>
      </c>
      <c r="H19" s="53"/>
      <c r="I19" s="50"/>
      <c r="J19" s="54">
        <v>100000</v>
      </c>
      <c r="K19" s="51"/>
    </row>
    <row r="20" spans="1:11">
      <c r="A20" s="49"/>
      <c r="B20" s="58" t="s">
        <v>85</v>
      </c>
      <c r="C20" s="53"/>
      <c r="D20" s="50"/>
      <c r="E20" s="54">
        <v>370000</v>
      </c>
      <c r="F20" s="50"/>
      <c r="G20" s="58" t="s">
        <v>107</v>
      </c>
      <c r="H20" s="53"/>
      <c r="I20" s="50"/>
      <c r="J20" s="54">
        <v>2430000</v>
      </c>
      <c r="K20" s="51"/>
    </row>
    <row r="21" spans="1:11">
      <c r="A21" s="49"/>
      <c r="B21" s="58"/>
      <c r="C21" s="53"/>
      <c r="D21" s="50"/>
      <c r="E21" s="54"/>
      <c r="F21" s="50"/>
      <c r="G21" s="58"/>
      <c r="H21" s="53"/>
      <c r="I21" s="50"/>
      <c r="J21" s="54"/>
      <c r="K21" s="51"/>
    </row>
    <row r="22" spans="1:11">
      <c r="A22" s="49"/>
      <c r="B22" s="58" t="s">
        <v>86</v>
      </c>
      <c r="C22" s="53"/>
      <c r="D22" s="50"/>
      <c r="E22" s="54">
        <v>720000</v>
      </c>
      <c r="F22" s="50"/>
      <c r="G22" s="58" t="s">
        <v>108</v>
      </c>
      <c r="H22" s="53"/>
      <c r="I22" s="50"/>
      <c r="J22" s="54">
        <v>1120000</v>
      </c>
      <c r="K22" s="51"/>
    </row>
    <row r="23" spans="1:11">
      <c r="A23" s="49"/>
      <c r="B23" s="58"/>
      <c r="C23" s="53"/>
      <c r="D23" s="50"/>
      <c r="E23" s="54"/>
      <c r="F23" s="50"/>
      <c r="G23" s="58" t="s">
        <v>109</v>
      </c>
      <c r="H23" s="53"/>
      <c r="I23" s="50"/>
      <c r="J23" s="54">
        <v>22400</v>
      </c>
      <c r="K23" s="51"/>
    </row>
    <row r="24" spans="1:11">
      <c r="A24" s="49"/>
      <c r="B24" s="58" t="s">
        <v>87</v>
      </c>
      <c r="C24" s="53"/>
      <c r="D24" s="50"/>
      <c r="E24" s="54">
        <v>415000</v>
      </c>
      <c r="F24" s="50"/>
      <c r="G24" s="58" t="s">
        <v>119</v>
      </c>
      <c r="H24" s="53"/>
      <c r="I24" s="50"/>
      <c r="J24" s="54">
        <v>1158000</v>
      </c>
      <c r="K24" s="51"/>
    </row>
    <row r="25" spans="1:11">
      <c r="A25" s="49"/>
      <c r="B25" s="58"/>
      <c r="C25" s="53"/>
      <c r="D25" s="50"/>
      <c r="E25" s="54"/>
      <c r="F25" s="50"/>
      <c r="G25" s="59"/>
      <c r="H25" s="50"/>
      <c r="I25" s="50"/>
      <c r="J25" s="50"/>
      <c r="K25" s="51"/>
    </row>
    <row r="26" spans="1:11">
      <c r="A26" s="49"/>
      <c r="B26" s="58" t="s">
        <v>88</v>
      </c>
      <c r="C26" s="53"/>
      <c r="D26" s="50"/>
      <c r="E26" s="54">
        <v>82000</v>
      </c>
      <c r="F26" s="50"/>
      <c r="G26" s="58" t="s">
        <v>110</v>
      </c>
      <c r="H26" s="53"/>
      <c r="I26" s="50"/>
      <c r="J26" s="54">
        <v>119000</v>
      </c>
      <c r="K26" s="51"/>
    </row>
    <row r="27" spans="1:11">
      <c r="A27" s="49"/>
      <c r="B27" s="58" t="s">
        <v>89</v>
      </c>
      <c r="C27" s="53"/>
      <c r="D27" s="50"/>
      <c r="E27" s="54">
        <v>62000</v>
      </c>
      <c r="F27" s="50"/>
      <c r="G27" s="58" t="s">
        <v>111</v>
      </c>
      <c r="H27" s="53"/>
      <c r="I27" s="50"/>
      <c r="J27" s="54">
        <v>100000</v>
      </c>
      <c r="K27" s="51"/>
    </row>
    <row r="28" spans="1:11">
      <c r="A28" s="49"/>
      <c r="B28" s="58" t="s">
        <v>90</v>
      </c>
      <c r="C28" s="53"/>
      <c r="D28" s="50"/>
      <c r="E28" s="54">
        <v>150000</v>
      </c>
      <c r="F28" s="50"/>
      <c r="G28" s="58" t="s">
        <v>112</v>
      </c>
      <c r="H28" s="53"/>
      <c r="I28" s="50"/>
      <c r="J28" s="54">
        <v>75000</v>
      </c>
      <c r="K28" s="51"/>
    </row>
    <row r="29" spans="1:11">
      <c r="A29" s="49"/>
      <c r="B29" s="58" t="s">
        <v>91</v>
      </c>
      <c r="C29" s="53"/>
      <c r="D29" s="50"/>
      <c r="E29" s="54">
        <v>90000</v>
      </c>
      <c r="F29" s="50"/>
      <c r="G29" s="58" t="s">
        <v>120</v>
      </c>
      <c r="H29" s="53"/>
      <c r="I29" s="50"/>
      <c r="J29" s="54">
        <v>600000</v>
      </c>
      <c r="K29" s="51"/>
    </row>
    <row r="30" spans="1:11">
      <c r="A30" s="49"/>
      <c r="B30" s="58"/>
      <c r="C30" s="53"/>
      <c r="D30" s="50"/>
      <c r="E30" s="54"/>
      <c r="F30" s="50"/>
      <c r="G30" s="58" t="s">
        <v>113</v>
      </c>
      <c r="H30" s="53"/>
      <c r="I30" s="50"/>
      <c r="J30" s="54">
        <v>875000</v>
      </c>
      <c r="K30" s="51"/>
    </row>
    <row r="31" spans="1:11">
      <c r="A31" s="49"/>
      <c r="B31" s="58" t="s">
        <v>92</v>
      </c>
      <c r="C31" s="53"/>
      <c r="D31" s="50"/>
      <c r="E31" s="54">
        <v>750000</v>
      </c>
      <c r="F31" s="50"/>
      <c r="G31" s="58"/>
      <c r="H31" s="53"/>
      <c r="I31" s="50"/>
      <c r="J31" s="54"/>
      <c r="K31" s="51"/>
    </row>
    <row r="32" spans="1:11">
      <c r="A32" s="49"/>
      <c r="B32" s="58" t="s">
        <v>93</v>
      </c>
      <c r="C32" s="53"/>
      <c r="D32" s="50"/>
      <c r="E32" s="54">
        <v>690000</v>
      </c>
      <c r="F32" s="50"/>
      <c r="G32" s="58" t="s">
        <v>114</v>
      </c>
      <c r="H32" s="53"/>
      <c r="I32" s="50"/>
      <c r="J32" s="54">
        <v>146000</v>
      </c>
      <c r="K32" s="51"/>
    </row>
    <row r="33" spans="1:11">
      <c r="A33" s="49"/>
      <c r="B33" s="58" t="s">
        <v>94</v>
      </c>
      <c r="C33" s="53"/>
      <c r="D33" s="50"/>
      <c r="E33" s="54">
        <v>578000</v>
      </c>
      <c r="F33" s="50"/>
      <c r="G33" s="58" t="s">
        <v>115</v>
      </c>
      <c r="H33" s="53"/>
      <c r="I33" s="50"/>
      <c r="J33" s="54">
        <v>150000</v>
      </c>
      <c r="K33" s="51"/>
    </row>
    <row r="34" spans="1:11">
      <c r="A34" s="49"/>
      <c r="B34" s="58" t="s">
        <v>95</v>
      </c>
      <c r="C34" s="53"/>
      <c r="D34" s="50"/>
      <c r="E34" s="54">
        <v>486000</v>
      </c>
      <c r="F34" s="50"/>
      <c r="G34" s="58"/>
      <c r="H34" s="53"/>
      <c r="I34" s="50"/>
      <c r="J34" s="54"/>
      <c r="K34" s="51"/>
    </row>
    <row r="35" spans="1:11">
      <c r="A35" s="49"/>
      <c r="B35" s="50"/>
      <c r="C35" s="50"/>
      <c r="D35" s="50"/>
      <c r="E35" s="50"/>
      <c r="F35" s="50"/>
      <c r="G35" s="58" t="s">
        <v>116</v>
      </c>
      <c r="H35" s="53"/>
      <c r="I35" s="50"/>
      <c r="J35" s="54">
        <v>72000</v>
      </c>
      <c r="K35" s="51"/>
    </row>
    <row r="36" spans="1:11">
      <c r="A36" s="49"/>
      <c r="B36" s="50"/>
      <c r="C36" s="50"/>
      <c r="D36" s="50"/>
      <c r="E36" s="50"/>
      <c r="F36" s="50"/>
      <c r="G36" s="58" t="s">
        <v>117</v>
      </c>
      <c r="H36" s="50"/>
      <c r="I36" s="50"/>
      <c r="J36" s="54">
        <v>197000</v>
      </c>
      <c r="K36" s="51"/>
    </row>
    <row r="37" spans="1:11">
      <c r="A37" s="49"/>
      <c r="B37" s="50"/>
      <c r="C37" s="50"/>
      <c r="D37" s="50"/>
      <c r="E37" s="50"/>
      <c r="F37" s="50"/>
      <c r="G37" s="58" t="s">
        <v>118</v>
      </c>
      <c r="H37" s="50"/>
      <c r="I37" s="50"/>
      <c r="J37" s="54">
        <v>347000</v>
      </c>
      <c r="K37" s="51"/>
    </row>
    <row r="38" spans="1:11">
      <c r="A38" s="49"/>
      <c r="B38" s="50"/>
      <c r="C38" s="50"/>
      <c r="D38" s="50"/>
      <c r="E38" s="50"/>
      <c r="F38" s="50"/>
      <c r="G38" s="50"/>
      <c r="H38" s="50"/>
      <c r="I38" s="50"/>
      <c r="J38" s="50"/>
      <c r="K38" s="51"/>
    </row>
    <row r="39" spans="1:11" ht="16.5" thickBot="1">
      <c r="A39" s="55"/>
      <c r="B39" s="56"/>
      <c r="C39" s="56"/>
      <c r="D39" s="56"/>
      <c r="E39" s="56"/>
      <c r="F39" s="56"/>
      <c r="G39" s="56"/>
      <c r="H39" s="56"/>
      <c r="I39" s="56"/>
      <c r="J39" s="56"/>
      <c r="K39" s="57"/>
    </row>
    <row r="40" spans="1:11" ht="16.5" thickTop="1"/>
  </sheetData>
  <mergeCells count="1">
    <mergeCell ref="C2:H2"/>
  </mergeCells>
  <phoneticPr fontId="2" type="noConversion"/>
  <pageMargins left="0.75" right="0.75" top="1" bottom="1" header="0.5" footer="0.5"/>
  <pageSetup paperSize="9" orientation="portrait" horizontalDpi="4294967293" verticalDpi="0" r:id="rId1"/>
  <headerFooter alignWithMargins="0"/>
</worksheet>
</file>

<file path=xl/worksheets/sheet5.xml><?xml version="1.0" encoding="utf-8"?>
<worksheet xmlns="http://schemas.openxmlformats.org/spreadsheetml/2006/main" xmlns:r="http://schemas.openxmlformats.org/officeDocument/2006/relationships">
  <sheetPr codeName="Sheet4"/>
  <dimension ref="B1:H24"/>
  <sheetViews>
    <sheetView zoomScale="110" workbookViewId="0">
      <selection activeCell="H9" sqref="H9"/>
    </sheetView>
  </sheetViews>
  <sheetFormatPr defaultColWidth="8" defaultRowHeight="12.75"/>
  <cols>
    <col min="1" max="1" width="3.5" style="63" customWidth="1"/>
    <col min="2" max="5" width="8" style="63" customWidth="1"/>
    <col min="6" max="6" width="3" style="63" customWidth="1"/>
    <col min="7" max="16384" width="8" style="63"/>
  </cols>
  <sheetData>
    <row r="1" spans="2:8" ht="13.5" thickBot="1"/>
    <row r="2" spans="2:8" ht="13.5" thickTop="1">
      <c r="B2" s="64" t="s">
        <v>122</v>
      </c>
      <c r="C2" s="65"/>
      <c r="D2" s="65"/>
      <c r="E2" s="65"/>
      <c r="F2" s="65"/>
      <c r="G2" s="65"/>
      <c r="H2" s="66"/>
    </row>
    <row r="3" spans="2:8" ht="13.5" thickBot="1">
      <c r="B3" s="67"/>
      <c r="C3" s="68"/>
      <c r="D3" s="68"/>
      <c r="E3" s="68"/>
      <c r="F3" s="68"/>
      <c r="G3" s="68"/>
      <c r="H3" s="69"/>
    </row>
    <row r="4" spans="2:8" ht="14.25" thickTop="1" thickBot="1">
      <c r="B4" s="70" t="s">
        <v>123</v>
      </c>
      <c r="C4" s="68"/>
      <c r="D4" s="68"/>
      <c r="E4" s="71">
        <v>230</v>
      </c>
      <c r="F4" s="68"/>
      <c r="G4" s="68"/>
      <c r="H4" s="69"/>
    </row>
    <row r="5" spans="2:8" ht="13.5" thickTop="1">
      <c r="B5" s="70" t="s">
        <v>124</v>
      </c>
      <c r="C5" s="68"/>
      <c r="D5" s="68"/>
      <c r="E5" s="72">
        <f>E4/1000</f>
        <v>0.23</v>
      </c>
      <c r="F5" s="68"/>
      <c r="G5" s="68"/>
      <c r="H5" s="69"/>
    </row>
    <row r="6" spans="2:8">
      <c r="B6" s="70" t="s">
        <v>125</v>
      </c>
      <c r="C6" s="68"/>
      <c r="D6" s="68"/>
      <c r="E6" s="73">
        <f>E5/(2*PI())</f>
        <v>3.6605636911135928E-2</v>
      </c>
      <c r="F6" s="68"/>
      <c r="G6" s="74">
        <f>((E6*2)*1000)/25</f>
        <v>2.928450952890874</v>
      </c>
      <c r="H6" s="69" t="s">
        <v>126</v>
      </c>
    </row>
    <row r="7" spans="2:8" ht="14.25">
      <c r="B7" s="70" t="s">
        <v>131</v>
      </c>
      <c r="C7" s="68"/>
      <c r="D7" s="68"/>
      <c r="E7" s="73">
        <f>(E6^2)*PI()</f>
        <v>4.2096482447806314E-3</v>
      </c>
      <c r="F7" s="68"/>
      <c r="G7" s="68"/>
      <c r="H7" s="69"/>
    </row>
    <row r="8" spans="2:8">
      <c r="B8" s="70"/>
      <c r="C8" s="68"/>
      <c r="D8" s="68"/>
      <c r="E8" s="68"/>
      <c r="F8" s="68"/>
      <c r="G8" s="68"/>
      <c r="H8" s="69"/>
    </row>
    <row r="9" spans="2:8">
      <c r="B9" s="70" t="s">
        <v>127</v>
      </c>
      <c r="C9" s="68"/>
      <c r="D9" s="68"/>
      <c r="E9" s="75">
        <v>2</v>
      </c>
      <c r="F9" s="68"/>
      <c r="G9" s="68"/>
      <c r="H9" s="69"/>
    </row>
    <row r="10" spans="2:8" ht="13.5" thickBot="1">
      <c r="B10" s="70"/>
      <c r="C10" s="68"/>
      <c r="D10" s="68"/>
      <c r="E10" s="68"/>
      <c r="F10" s="68"/>
      <c r="G10" s="68"/>
      <c r="H10" s="69"/>
    </row>
    <row r="11" spans="2:8" ht="14.25" thickTop="1" thickBot="1">
      <c r="B11" s="70" t="s">
        <v>128</v>
      </c>
      <c r="C11" s="68"/>
      <c r="D11" s="68"/>
      <c r="E11" s="76">
        <f>(E9*E7)*1000</f>
        <v>8.4192964895612636</v>
      </c>
      <c r="F11" s="72"/>
      <c r="G11" s="68"/>
      <c r="H11" s="69"/>
    </row>
    <row r="12" spans="2:8" ht="13.5" thickTop="1">
      <c r="B12" s="70"/>
      <c r="C12" s="68"/>
      <c r="D12" s="68"/>
      <c r="E12" s="68"/>
      <c r="F12" s="68"/>
      <c r="G12" s="68"/>
      <c r="H12" s="69"/>
    </row>
    <row r="13" spans="2:8">
      <c r="B13" s="70"/>
      <c r="C13" s="68"/>
      <c r="D13" s="68"/>
      <c r="E13" s="68"/>
      <c r="F13" s="68"/>
      <c r="G13" s="68"/>
      <c r="H13" s="69"/>
    </row>
    <row r="14" spans="2:8">
      <c r="B14" s="77" t="s">
        <v>129</v>
      </c>
      <c r="C14" s="68"/>
      <c r="D14" s="68"/>
      <c r="E14" s="68"/>
      <c r="F14" s="68"/>
      <c r="G14" s="68"/>
      <c r="H14" s="69"/>
    </row>
    <row r="15" spans="2:8" ht="13.5" thickBot="1">
      <c r="B15" s="67"/>
      <c r="C15" s="68"/>
      <c r="D15" s="68"/>
      <c r="E15" s="68"/>
      <c r="F15" s="68"/>
      <c r="G15" s="68"/>
      <c r="H15" s="69"/>
    </row>
    <row r="16" spans="2:8" ht="14.25" thickTop="1" thickBot="1">
      <c r="B16" s="70" t="s">
        <v>130</v>
      </c>
      <c r="C16" s="68"/>
      <c r="D16" s="68"/>
      <c r="E16" s="71">
        <v>100</v>
      </c>
      <c r="F16" s="68"/>
      <c r="G16" s="68"/>
      <c r="H16" s="69"/>
    </row>
    <row r="17" spans="2:8" ht="13.5" thickTop="1">
      <c r="B17" s="70" t="s">
        <v>125</v>
      </c>
      <c r="C17" s="68"/>
      <c r="D17" s="68"/>
      <c r="E17" s="72">
        <f>E16/1000</f>
        <v>0.1</v>
      </c>
      <c r="F17" s="68"/>
      <c r="G17" s="74">
        <f>((E17*2)*1000)/25</f>
        <v>8</v>
      </c>
      <c r="H17" s="69" t="s">
        <v>126</v>
      </c>
    </row>
    <row r="18" spans="2:8" ht="14.25">
      <c r="B18" s="70" t="s">
        <v>131</v>
      </c>
      <c r="C18" s="68"/>
      <c r="D18" s="68"/>
      <c r="E18" s="73">
        <f>(E17^2)*PI()</f>
        <v>3.1415926535897934E-2</v>
      </c>
      <c r="F18" s="68"/>
      <c r="G18" s="68"/>
      <c r="H18" s="78"/>
    </row>
    <row r="19" spans="2:8">
      <c r="B19" s="70"/>
      <c r="C19" s="68"/>
      <c r="D19" s="68"/>
      <c r="E19" s="68"/>
      <c r="F19" s="68"/>
      <c r="G19" s="68"/>
      <c r="H19" s="69"/>
    </row>
    <row r="20" spans="2:8">
      <c r="B20" s="70" t="s">
        <v>127</v>
      </c>
      <c r="C20" s="68"/>
      <c r="D20" s="68"/>
      <c r="E20" s="75">
        <v>3</v>
      </c>
      <c r="F20" s="68"/>
      <c r="G20" s="68"/>
      <c r="H20" s="69"/>
    </row>
    <row r="21" spans="2:8" ht="13.5" thickBot="1">
      <c r="B21" s="70"/>
      <c r="C21" s="68"/>
      <c r="D21" s="68"/>
      <c r="E21" s="68"/>
      <c r="F21" s="68"/>
      <c r="G21" s="68"/>
      <c r="H21" s="69"/>
    </row>
    <row r="22" spans="2:8" ht="14.25" thickTop="1" thickBot="1">
      <c r="B22" s="70" t="s">
        <v>128</v>
      </c>
      <c r="C22" s="68"/>
      <c r="D22" s="68"/>
      <c r="E22" s="76">
        <f>(E20*E18)*1000</f>
        <v>94.247779607693801</v>
      </c>
      <c r="F22" s="72"/>
      <c r="G22" s="68"/>
      <c r="H22" s="69"/>
    </row>
    <row r="23" spans="2:8" ht="14.25" thickTop="1" thickBot="1">
      <c r="B23" s="79"/>
      <c r="C23" s="80"/>
      <c r="D23" s="80"/>
      <c r="E23" s="80"/>
      <c r="F23" s="80"/>
      <c r="G23" s="80"/>
      <c r="H23" s="81"/>
    </row>
    <row r="24" spans="2:8" ht="13.5" thickTop="1"/>
  </sheetData>
  <sheetProtection sheet="1" objects="1" scenarios="1" selectLockedCells="1"/>
  <phoneticPr fontId="4" type="noConversion"/>
  <pageMargins left="0.75" right="0.75" top="1" bottom="1" header="0.5" footer="0.5"/>
  <pageSetup paperSize="9"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sheetPr codeName="Sheet8"/>
  <dimension ref="A1:B8"/>
  <sheetViews>
    <sheetView workbookViewId="0">
      <selection activeCell="A8" sqref="A8"/>
    </sheetView>
  </sheetViews>
  <sheetFormatPr defaultColWidth="8" defaultRowHeight="12.75"/>
  <cols>
    <col min="1" max="1" width="25.75" style="43" customWidth="1"/>
    <col min="2" max="16384" width="8" style="43"/>
  </cols>
  <sheetData>
    <row r="1" spans="1:2" ht="15.75">
      <c r="A1" s="44" t="s">
        <v>44</v>
      </c>
      <c r="B1" s="44" t="s">
        <v>73</v>
      </c>
    </row>
    <row r="3" spans="1:2">
      <c r="A3" s="40" t="s">
        <v>64</v>
      </c>
      <c r="B3" s="43" t="s">
        <v>70</v>
      </c>
    </row>
    <row r="4" spans="1:2">
      <c r="A4" s="45" t="s">
        <v>66</v>
      </c>
      <c r="B4" s="43" t="s">
        <v>69</v>
      </c>
    </row>
    <row r="5" spans="1:2">
      <c r="A5" s="45" t="s">
        <v>63</v>
      </c>
      <c r="B5" s="43" t="s">
        <v>72</v>
      </c>
    </row>
    <row r="6" spans="1:2">
      <c r="A6" s="40" t="s">
        <v>62</v>
      </c>
      <c r="B6" s="43" t="s">
        <v>71</v>
      </c>
    </row>
    <row r="7" spans="1:2">
      <c r="A7" s="45" t="s">
        <v>68</v>
      </c>
    </row>
    <row r="8" spans="1:2">
      <c r="A8" s="45" t="s">
        <v>74</v>
      </c>
    </row>
  </sheetData>
  <phoneticPr fontId="9" type="noConversion"/>
  <dataValidations count="1">
    <dataValidation type="list" allowBlank="1" showInputMessage="1" showErrorMessage="1" sqref="A10">
      <formula1>Department</formula1>
    </dataValidation>
  </dataValidations>
  <pageMargins left="0.75" right="0.75" top="1" bottom="1" header="0.5" footer="0.5"/>
  <pageSetup paperSize="9" orientation="portrait" horizontalDpi="4294967294"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Data</vt:lpstr>
      <vt:lpstr>RESULTS</vt:lpstr>
      <vt:lpstr>Database</vt:lpstr>
      <vt:lpstr>COD Equivalents</vt:lpstr>
      <vt:lpstr>Flow Chk Calc</vt:lpstr>
      <vt:lpstr>Drop Down Lists</vt:lpstr>
      <vt:lpstr>Action</vt:lpstr>
      <vt:lpstr>Areas</vt:lpstr>
      <vt:lpstr>Department</vt:lpstr>
      <vt:lpstr>Data!Print_Area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 Stevens</dc:creator>
  <cp:lastModifiedBy>Nigel Stevens</cp:lastModifiedBy>
  <cp:lastPrinted>2009-04-06T10:57:26Z</cp:lastPrinted>
  <dcterms:created xsi:type="dcterms:W3CDTF">2000-02-08T18:06:15Z</dcterms:created>
  <dcterms:modified xsi:type="dcterms:W3CDTF">2016-12-20T11:06:11Z</dcterms:modified>
</cp:coreProperties>
</file>